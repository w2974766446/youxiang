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xuankuan\product-selection-system\data\"/>
    </mc:Choice>
  </mc:AlternateContent>
  <bookViews>
    <workbookView windowWidth="28800" windowHeight="11805"/>
  </bookViews>
  <sheets>
    <sheet name="初语货表" sheetId="6" r:id="rId1"/>
    <sheet name="茵曼货表" sheetId="3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初语货表!$A$1:$J$190</definedName>
    <definedName name="__mth2">[1]Adm!$G$31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<sst xmlns="http://schemas.openxmlformats.org/spreadsheetml/2006/main" count="1241" uniqueCount="595">
  <si>
    <t>款号</t>
  </si>
  <si>
    <t>类目</t>
  </si>
  <si>
    <t>日常价</t>
  </si>
  <si>
    <t>达播价</t>
  </si>
  <si>
    <t>佣金</t>
  </si>
  <si>
    <t>颜色</t>
  </si>
  <si>
    <t>材质</t>
  </si>
  <si>
    <t>针织衫</t>
  </si>
  <si>
    <t>20%</t>
  </si>
  <si>
    <t>黑色,灰色</t>
  </si>
  <si>
    <t>50.8%粘纤 29.8%聚酯纤维 19.4%锦纶</t>
  </si>
  <si>
    <t>深灰色</t>
  </si>
  <si>
    <t>薄荷绿,灰色,蓝色</t>
  </si>
  <si>
    <t>40.8%粘纤 34.1%锦纶 25.1%聚酯纤维</t>
  </si>
  <si>
    <t>藏青间条,橄榄绿,灰色</t>
  </si>
  <si>
    <t>面料：29.2%聚酯纤维 25.9%腈纶 23.3%粘纤 21.6%锦纶</t>
  </si>
  <si>
    <t>灰色,克莱因蓝</t>
  </si>
  <si>
    <t>44.8%锦纶 34.7%粘纤 20.5%聚酯纤维</t>
  </si>
  <si>
    <t>粉色,克莱因蓝</t>
  </si>
  <si>
    <t>37.6%聚酯纤维 36.7%腈纶 21.2%锦纶 4.5%绵羊毛</t>
  </si>
  <si>
    <t>天蓝色</t>
  </si>
  <si>
    <r>
      <rPr>
        <sz val="11"/>
        <color rgb="FF000000"/>
        <rFont val="微软雅黑"/>
        <charset val="134"/>
      </rPr>
      <t>天蓝色：83.0%粘纤 17.0%聚酯纤维</t>
    </r>
    <r>
      <rPr>
        <sz val="11"/>
        <color rgb="FF000000"/>
        <rFont val="微软雅黑"/>
        <charset val="134"/>
      </rPr>
      <t xml:space="preserve">   </t>
    </r>
    <r>
      <rPr>
        <sz val="11"/>
        <color rgb="FF000000"/>
        <rFont val="微软雅黑"/>
        <charset val="134"/>
      </rPr>
      <t>浅粉色/米白色：84.6%再生纤维素纤维 15.4%聚酯纤维</t>
    </r>
  </si>
  <si>
    <t>淡粉色,淡蓝色</t>
  </si>
  <si>
    <t>黄绿条纹,咖色条纹</t>
  </si>
  <si>
    <t>KB8633069</t>
  </si>
  <si>
    <t>芥末绿,米白色</t>
  </si>
  <si>
    <t>浅蓝色,水粉色</t>
  </si>
  <si>
    <t>面料：86.0%粘纤 14.0%聚酯纤维</t>
  </si>
  <si>
    <t>米白间条,深宝蓝间条</t>
  </si>
  <si>
    <t>灰紫色,蓝橙色</t>
  </si>
  <si>
    <t>82.0%再生纤维素纤维 18.0%锦纶</t>
  </si>
  <si>
    <t>白色,红色,蓝色,绿色</t>
  </si>
  <si>
    <t>66.0%粘纤 34.0%锦纶</t>
  </si>
  <si>
    <t>藏青色,鹅黄色,蓝色</t>
  </si>
  <si>
    <t>69.3%粘纤 30.7%锦纶</t>
  </si>
  <si>
    <t>红色,蓝色,米白色</t>
  </si>
  <si>
    <t>83.5%莱赛尔 16.5%锦纶</t>
  </si>
  <si>
    <t>粉黄色,粉蓝色,粉色</t>
  </si>
  <si>
    <r>
      <rPr>
        <sz val="11"/>
        <color rgb="FF000000"/>
        <rFont val="微软雅黑"/>
        <charset val="134"/>
      </rPr>
      <t>82.4%粘纤</t>
    </r>
    <r>
      <rPr>
        <sz val="11"/>
        <color rgb="FF000000"/>
        <rFont val="微软雅黑"/>
        <charset val="134"/>
      </rPr>
      <t xml:space="preserve">  </t>
    </r>
    <r>
      <rPr>
        <sz val="11"/>
        <color rgb="FF000000"/>
        <rFont val="微软雅黑"/>
        <charset val="134"/>
      </rPr>
      <t>17.6%锦纶</t>
    </r>
  </si>
  <si>
    <t>深花灰,天蓝色</t>
  </si>
  <si>
    <t>67.5%粘纤 19.5%锦纶 13.0%聚酯纤维</t>
  </si>
  <si>
    <t>KB8633028</t>
  </si>
  <si>
    <t>淡绿色,米白色,天蓝色</t>
  </si>
  <si>
    <t>86.8%再生纤维素纤维 13.2%聚酯纤维</t>
  </si>
  <si>
    <t>艾绿色,黑色,米白色,浅蓝色</t>
  </si>
  <si>
    <t>56.9%腈纶 31.2%莱赛尔 11.9%亚麻   黑色:53.4%腈纶 36.7%莱赛尔 9.9%亚麻</t>
  </si>
  <si>
    <t>藏青色,米杏色,浅粉色</t>
  </si>
  <si>
    <t>89.3%莱赛尔 10.7%锦纶</t>
  </si>
  <si>
    <t>天蓝色、米杏色、深蓝色</t>
  </si>
  <si>
    <t>100%棉</t>
  </si>
  <si>
    <t>藏青色,米白色,星钻蓝</t>
  </si>
  <si>
    <t>59.1%聚酯纤维 40.9%粘纤</t>
  </si>
  <si>
    <t>艾绿色,藏青,灰色</t>
  </si>
  <si>
    <r>
      <rPr>
        <sz val="11"/>
        <color rgb="FF000000"/>
        <rFont val="微软雅黑"/>
        <charset val="134"/>
      </rPr>
      <t>藏青 艾绿色：82.8%粘纤 17.2%锦纶</t>
    </r>
    <r>
      <rPr>
        <sz val="11"/>
        <color rgb="FF000000"/>
        <rFont val="微软雅黑"/>
        <charset val="134"/>
      </rPr>
      <t xml:space="preserve">   </t>
    </r>
    <r>
      <rPr>
        <sz val="11"/>
        <color rgb="FF000000"/>
        <rFont val="微软雅黑"/>
        <charset val="134"/>
      </rPr>
      <t>灰色：81.8%再生纤维素纤维</t>
    </r>
    <r>
      <rPr>
        <sz val="11"/>
        <color rgb="FF000000"/>
        <rFont val="微软雅黑"/>
        <charset val="134"/>
      </rPr>
      <t xml:space="preserve">  </t>
    </r>
    <r>
      <rPr>
        <sz val="11"/>
        <color rgb="FF000000"/>
        <rFont val="微软雅黑"/>
        <charset val="134"/>
      </rPr>
      <t>18.2%锦纶</t>
    </r>
  </si>
  <si>
    <t>100%粘纤</t>
  </si>
  <si>
    <t>黑色、米白色、安可拉红</t>
  </si>
  <si>
    <t>休闲裤</t>
  </si>
  <si>
    <t>黑色-常规版,黑色-娇小版,深灰色-常规版,深灰色-娇小版</t>
  </si>
  <si>
    <t>主料：97.7%聚酯纤维 2.3%氨纶</t>
  </si>
  <si>
    <t>白色,黑色,卡其色</t>
  </si>
  <si>
    <t>面料：100%聚酯纤维</t>
  </si>
  <si>
    <t>黑色,米白色,暮云灰</t>
  </si>
  <si>
    <t>面料：49.7%棉 42.9%聚酯纤维 7.4%氨纶</t>
  </si>
  <si>
    <t>白色,浅灰色</t>
  </si>
  <si>
    <t>主料：100%聚酯纤维</t>
  </si>
  <si>
    <t>安可拉红,白色</t>
  </si>
  <si>
    <t>暗橙色,驼黄色</t>
  </si>
  <si>
    <t>焦糖色,桃粉色</t>
  </si>
  <si>
    <t>主料：100%棉</t>
  </si>
  <si>
    <t>卡其色,米杏色</t>
  </si>
  <si>
    <t>米白色,深卡其</t>
  </si>
  <si>
    <t>主料：71.1%聚酯纤维 28.9%锦纶</t>
  </si>
  <si>
    <t>橄榄绿,米杏色,天蓝色</t>
  </si>
  <si>
    <t>浅米杏、深宝蓝</t>
  </si>
  <si>
    <t>46.0%莱赛尔 38.7%粘纤 8.9%锦纶 6.4%亚麻</t>
  </si>
  <si>
    <t>白色,黑色,克莱因蓝</t>
  </si>
  <si>
    <t>黑色</t>
  </si>
  <si>
    <t>面料：100%粘纤(涂层除外) 里料：100%聚酯纤维</t>
  </si>
  <si>
    <t>卡其色,深咖色</t>
  </si>
  <si>
    <t>卫衣</t>
  </si>
  <si>
    <t>黑色,枣红色</t>
  </si>
  <si>
    <t>主料：84.6%棉 15.4%聚酯纤维</t>
  </si>
  <si>
    <t>深咖色</t>
  </si>
  <si>
    <t>主料：面层： 64.5%棉 35.5%聚酯纤维(含胶)底层： 100%聚酯纤维 印花料：74.6%莱赛尔 25.4%锦纶</t>
  </si>
  <si>
    <t>花灰色,桔色</t>
  </si>
  <si>
    <t>浅花灰色</t>
  </si>
  <si>
    <t>主料：85.0%棉 15.0%聚酯纤维 袖子：87.6%棉 12.4%锦纶</t>
  </si>
  <si>
    <t>花灰色,柠檬黄</t>
  </si>
  <si>
    <t>主料：面层：59.2%棉 40.8%聚酯纤维(含胶) 底层：100%聚酯纤维</t>
  </si>
  <si>
    <t>花灰色</t>
  </si>
  <si>
    <t>安可拉红,黑色,花灰色,银花灰</t>
  </si>
  <si>
    <t>面料：面层： 59.0%棉 41.0%聚酯纤维(含胶)底层： 100%聚酯纤维</t>
  </si>
  <si>
    <t>火龙果色,杏花灰</t>
  </si>
  <si>
    <t>桔色,杏花灰</t>
  </si>
  <si>
    <t>外套 上衣</t>
  </si>
  <si>
    <t>花灰色,浅米杏,深藏青</t>
  </si>
  <si>
    <t>主料：面层：60.8%棉 39.2%聚酯纤维(含胶) 底层：100%聚酯纤维</t>
  </si>
  <si>
    <t>深花灰</t>
  </si>
  <si>
    <t>复古蓝</t>
  </si>
  <si>
    <t>75.7%棉 15.1%再生纤维素纤维 9.2%聚酯纤维</t>
  </si>
  <si>
    <t>青绿色,檀粉色</t>
  </si>
  <si>
    <r>
      <rPr>
        <sz val="11"/>
        <color rgb="FF000000"/>
        <rFont val="微软雅黑"/>
        <charset val="134"/>
      </rPr>
      <t>青绿色主料：61.1%聚酯纤维 38.9%粘纤 里料：100%聚酯纤维</t>
    </r>
    <r>
      <rPr>
        <sz val="11"/>
        <color rgb="FF000000"/>
        <rFont val="微软雅黑"/>
        <charset val="134"/>
      </rPr>
      <t xml:space="preserve">    </t>
    </r>
    <r>
      <rPr>
        <sz val="11"/>
        <color rgb="FF000000"/>
        <rFont val="微软雅黑"/>
        <charset val="134"/>
      </rPr>
      <t>檀粉色主料：60.0%聚酯纤维 40.0%再生纤维素纤维 里料：100%聚酯纤维</t>
    </r>
  </si>
  <si>
    <t>丝光棕,樱花粉</t>
  </si>
  <si>
    <r>
      <rPr>
        <sz val="11"/>
        <color rgb="FF000000"/>
        <rFont val="微软雅黑"/>
        <charset val="134"/>
      </rPr>
      <t>主料：面层： 96.7%聚酯纤维 3.3%氨纶(含胶)</t>
    </r>
    <r>
      <rPr>
        <sz val="11"/>
        <color rgb="FF000000"/>
        <rFont val="微软雅黑"/>
        <charset val="134"/>
      </rPr>
      <t xml:space="preserve">  </t>
    </r>
    <r>
      <rPr>
        <sz val="11"/>
        <color rgb="FF000000"/>
        <rFont val="微软雅黑"/>
        <charset val="134"/>
      </rPr>
      <t>底层： 100%聚酯纤维 里料：100%聚酯纤维</t>
    </r>
  </si>
  <si>
    <t>深棕色</t>
  </si>
  <si>
    <t>主料：100%粘纤（涂层除外） 里料：100%聚酯纤维</t>
  </si>
  <si>
    <t>天蓝色,棕绿色</t>
  </si>
  <si>
    <t>主料：面层：79.5%聚酯纤维 20.5%粘纤(含胶) 底层：100%聚酯纤维 里料：100%聚酯纤维</t>
  </si>
  <si>
    <t>风衣</t>
  </si>
  <si>
    <t>浅棕色</t>
  </si>
  <si>
    <t>面料：面层：80.4%聚酯纤维 19.6%粘纤(含胶) 底层：100%聚酯纤维 里料：100%聚酯纤维</t>
  </si>
  <si>
    <t>套装</t>
  </si>
  <si>
    <t>藏青色,雾霾蓝</t>
  </si>
  <si>
    <t>主料：64.2%棉 35.8%聚酯纤维</t>
  </si>
  <si>
    <t>灰蓝色,军绿色</t>
  </si>
  <si>
    <t>65.8%棉 30.3%锦纶 3.9%氨纶</t>
  </si>
  <si>
    <t>牛仔蓝,浅蓝色</t>
  </si>
  <si>
    <t>57.3%粘纤 30.8%聚酯纤维 11.9%锦纶</t>
  </si>
  <si>
    <t>牛仔裤</t>
  </si>
  <si>
    <t>粉色-常规版,粉色-娇小版,灰色-常规版,灰色-娇小版,卡其色-常规版,卡其色-娇小版</t>
  </si>
  <si>
    <t>牛仔原色-常规版,牛仔原色-娇小版,中蓝色-常规版,中蓝色-娇小版</t>
  </si>
  <si>
    <r>
      <rPr>
        <sz val="11"/>
        <color rgb="FF000000"/>
        <rFont val="微软雅黑"/>
        <charset val="134"/>
      </rPr>
      <t>牛仔原色主料：84.9%棉 13.6%聚酯纤维 1.5%其他纤维</t>
    </r>
    <r>
      <rPr>
        <sz val="11"/>
        <color rgb="FF000000"/>
        <rFont val="微软雅黑"/>
        <charset val="134"/>
      </rPr>
      <t xml:space="preserve">   </t>
    </r>
    <r>
      <rPr>
        <sz val="11"/>
        <color rgb="FF000000"/>
        <rFont val="微软雅黑"/>
        <charset val="134"/>
      </rPr>
      <t>中蓝色主料：100%棉</t>
    </r>
  </si>
  <si>
    <t>橄榄绿-常规版,橄榄绿-娇小版,卡其色-常规版,卡其色-娇小版</t>
  </si>
  <si>
    <r>
      <rPr>
        <sz val="11"/>
        <color rgb="FF000000"/>
        <rFont val="微软雅黑"/>
        <charset val="134"/>
      </rPr>
      <t>橄榄绿</t>
    </r>
    <r>
      <rPr>
        <sz val="11"/>
        <color rgb="FF000000"/>
        <rFont val="微软雅黑"/>
        <charset val="134"/>
      </rPr>
      <t xml:space="preserve">  </t>
    </r>
    <r>
      <rPr>
        <sz val="11"/>
        <color rgb="FF000000"/>
        <rFont val="微软雅黑"/>
        <charset val="134"/>
      </rPr>
      <t>卡其色:100%棉</t>
    </r>
  </si>
  <si>
    <t>橄榄绿,焦糖棕,卡其色</t>
  </si>
  <si>
    <t>卡其色 橄榄绿  焦糖棕：100%棉</t>
  </si>
  <si>
    <t>蓝白色</t>
  </si>
  <si>
    <t>复古蓝,深灰色</t>
  </si>
  <si>
    <t>白色,浅蓝色,深蓝色</t>
  </si>
  <si>
    <r>
      <rPr>
        <sz val="11"/>
        <color rgb="FF000000"/>
        <rFont val="微软雅黑"/>
        <charset val="134"/>
      </rPr>
      <t>深蓝色 浅蓝色：主料：100%棉</t>
    </r>
    <r>
      <rPr>
        <sz val="11"/>
        <color rgb="FF000000"/>
        <rFont val="微软雅黑"/>
        <charset val="134"/>
      </rPr>
      <t xml:space="preserve">   </t>
    </r>
    <r>
      <rPr>
        <sz val="11"/>
        <color rgb="FF000000"/>
        <rFont val="微软雅黑"/>
        <charset val="134"/>
      </rPr>
      <t>白色主料：42.4%棉 26.7%莱赛尔 24.2%聚脂纤维 6.7%醋纤</t>
    </r>
  </si>
  <si>
    <t>冰川蓝,海盐蓝</t>
  </si>
  <si>
    <t>冰川蓝/海盐蓝：67.6%棉 18.8%聚酯纤维 12.1%醋纤 1.5%氨纶</t>
  </si>
  <si>
    <t>冰川蓝-常规版,冰川蓝-娇小版,海盐蓝-常规版,海盐蓝-娇小版,星空中蓝-常规版,星空中蓝-娇小版</t>
  </si>
  <si>
    <t>主料：67.6%棉 18.8%聚酯纤维 12.1%醋纤 1.5%氨纶</t>
  </si>
  <si>
    <t>冰川蓝-常规版,冰川蓝-娇小版,海盐蓝-常规版,海盐蓝-娇小版</t>
  </si>
  <si>
    <t>复古蓝-常规版,复古蓝-娇小版,浅蓝色-常规版,浅蓝色-娇小版,炭黑色-常规版,炭黑色-娇小版</t>
  </si>
  <si>
    <t>主料：99.0%棉 1.0%氨纶</t>
  </si>
  <si>
    <t>白色,复古蓝</t>
  </si>
  <si>
    <t>白色 复古蓝主料：42.4%棉 26.7%莱赛尔 24.2%聚酯纤维 6.7%醋纤</t>
  </si>
  <si>
    <t>复古蓝-常规版,复古蓝-娇小版,浅蓝色-常规版,浅蓝色-娇小版</t>
  </si>
  <si>
    <t>99.0%棉 1.0%其他纤维</t>
  </si>
  <si>
    <t>琥珀复古蓝-常规版,琥珀复古蓝-娇小版,浅蓝色-常规版,浅蓝色-娇小版,深蓝色-常规版,深蓝色-娇小版</t>
  </si>
  <si>
    <t>琥珀复古蓝/深蓝色/浅蓝色主料：80.7%棉 10.4%再生纤维素纤维 8.9%聚酯纤维</t>
  </si>
  <si>
    <t>379</t>
  </si>
  <si>
    <t>中蓝色-常规版、复古蓝-常规版、幕空怀旧蓝-娇小版、幕空怀旧蓝-常规版、星空中蓝-娇小版、星空中蓝-常规版、炭黑色-常规版、熔岩炭黑-娇小版、熔岩炭黑-常规版、雪山浮白-娇小版、雪山浮白-常规版</t>
  </si>
  <si>
    <t>炭黑色 中蓝色 中蓝色：99.0%棉 1.0%氨纶   白色：99.0%棉 1.0%氨纶</t>
  </si>
  <si>
    <t>复古蓝-常规版,复古蓝-娇小版,复古棕-常规版,复古棕-娇小版</t>
  </si>
  <si>
    <r>
      <rPr>
        <sz val="11"/>
        <color rgb="FF000000"/>
        <rFont val="微软雅黑"/>
        <charset val="134"/>
      </rPr>
      <t>复古棕</t>
    </r>
    <r>
      <rPr>
        <sz val="11"/>
        <color rgb="FF000000"/>
        <rFont val="微软雅黑"/>
        <charset val="134"/>
      </rPr>
      <t xml:space="preserve">  </t>
    </r>
    <r>
      <rPr>
        <sz val="11"/>
        <color rgb="FF000000"/>
        <rFont val="微软雅黑"/>
        <charset val="134"/>
      </rPr>
      <t>复古蓝10.22号更改：52.7%棉 27.0%聚酯纤维 18.3%再生纤维素纤维 1.2%氨纶 0.8%亚麻</t>
    </r>
    <r>
      <rPr>
        <sz val="11"/>
        <color rgb="FF000000"/>
        <rFont val="微软雅黑"/>
        <charset val="134"/>
      </rPr>
      <t xml:space="preserve">   </t>
    </r>
    <r>
      <rPr>
        <sz val="11"/>
        <color rgb="FF000000"/>
        <rFont val="微软雅黑"/>
        <charset val="134"/>
      </rPr>
      <t>ZD251100123/ZD251100127复古蓝：66.1%棉 27.1%聚酯纤维 2.5%再生纤维素纤维 2.4%亚麻 1.9%氨纶</t>
    </r>
  </si>
  <si>
    <t>复古蓝-常规版,复古蓝-娇小版,牛仔蓝-常规版,牛仔蓝-娇小版,浅蓝色-常规版,浅蓝色-娇小版</t>
  </si>
  <si>
    <t>99.0%棉 1.0%氨纶</t>
  </si>
  <si>
    <t>卡其腰果花、破洞复古色、绿绒蒿满印、杏底豹纹</t>
  </si>
  <si>
    <t>牛仔蓝-常规版,牛仔蓝-娇小版,浅蓝色-常规版,浅蓝色-娇小版</t>
  </si>
  <si>
    <t>白色-常规版,白色-娇小版,灰色-常规版,灰色-娇小版,浅蓝色-常规版,浅蓝色-娇小版</t>
  </si>
  <si>
    <r>
      <rPr>
        <sz val="11"/>
        <color rgb="FF000000"/>
        <rFont val="微软雅黑"/>
        <charset val="134"/>
      </rPr>
      <t>浅蓝色：79.8%棉 10.1%聚酯纤维 10.1%再生纤维素纤维</t>
    </r>
    <r>
      <rPr>
        <sz val="11"/>
        <color rgb="FF000000"/>
        <rFont val="微软雅黑"/>
        <charset val="134"/>
      </rPr>
      <t xml:space="preserve">   </t>
    </r>
    <r>
      <rPr>
        <sz val="11"/>
        <color rgb="FF000000"/>
        <rFont val="微软雅黑"/>
        <charset val="134"/>
      </rPr>
      <t>灰色：72.9%棉 19.8%再生纤维素纤维 7.3%聚酯纤维</t>
    </r>
    <r>
      <rPr>
        <sz val="11"/>
        <color rgb="FF000000"/>
        <rFont val="微软雅黑"/>
        <charset val="134"/>
      </rPr>
      <t xml:space="preserve">  </t>
    </r>
    <r>
      <rPr>
        <sz val="11"/>
        <color rgb="FF000000"/>
        <rFont val="微软雅黑"/>
        <charset val="134"/>
      </rPr>
      <t>白色：69.7%棉 30.3%莱赛尔</t>
    </r>
  </si>
  <si>
    <t>浅蓝色-常规版,浅蓝色-娇小版</t>
  </si>
  <si>
    <t>主料：85.3%棉 9.1%聚酯纤维 5.6%再生纤维素纤维</t>
  </si>
  <si>
    <t>复古蓝-常规版,复古蓝-娇小版</t>
  </si>
  <si>
    <t>主料：99.4%棉 0.6%氨纶</t>
  </si>
  <si>
    <t>银河浅蓝-常规版,银河浅蓝-娇小版</t>
  </si>
  <si>
    <t>复古蓝,浅蓝色</t>
  </si>
  <si>
    <t>主料：92.7%棉 7.3%其他纤维</t>
  </si>
  <si>
    <t>马夹</t>
  </si>
  <si>
    <t>牛仔蓝</t>
  </si>
  <si>
    <t>檀粉色</t>
  </si>
  <si>
    <t>主料：59.7%聚酯纤维 40.3%粘纤 里料：100%聚酯纤维</t>
  </si>
  <si>
    <t>棕绿色</t>
  </si>
  <si>
    <t>主料：面层：80.5%聚酯纤维 19.5%粘纤(含胶) 底层：100%聚酯纤维 里料：100%聚酯纤维</t>
  </si>
  <si>
    <t>咖色</t>
  </si>
  <si>
    <t>面料：面层：96.4%聚酯纤维 3.6%氨纶(含胶) 底层：100%聚酯纤维 里料：100%聚酯纤维</t>
  </si>
  <si>
    <t>卡其色,浅杏色</t>
  </si>
  <si>
    <t>卡其色主料：79.1%莱赛尔 20.9%亚麻 里料：100%聚酯纤维 浅杏色主料：67.7%莱赛尔 32.3%亚麻 里料：100%聚酯纤维</t>
  </si>
  <si>
    <t>米杏色</t>
  </si>
  <si>
    <r>
      <rPr>
        <sz val="11"/>
        <color rgb="FF000000"/>
        <rFont val="微软雅黑"/>
        <charset val="134"/>
      </rPr>
      <t>面料：面层：52.3%莱赛尔 41.3%粘纤 4.9%锦纶 1.5%亚麻(含胶) 底层：100%聚酯纤维</t>
    </r>
    <r>
      <rPr>
        <sz val="11"/>
        <color rgb="FF000000"/>
        <rFont val="微软雅黑"/>
        <charset val="134"/>
      </rPr>
      <t xml:space="preserve">  </t>
    </r>
    <r>
      <rPr>
        <sz val="11"/>
        <color rgb="FF000000"/>
        <rFont val="微软雅黑"/>
        <charset val="134"/>
      </rPr>
      <t>里料：100%聚酯纤维</t>
    </r>
  </si>
  <si>
    <t>藏青色,燕麦色</t>
  </si>
  <si>
    <r>
      <rPr>
        <sz val="11"/>
        <color rgb="FF000000"/>
        <rFont val="微软雅黑"/>
        <charset val="134"/>
      </rPr>
      <t>主料：47.7%莱赛尔 41.6%粘纤 9.1%锦纶 1.6%亚麻</t>
    </r>
    <r>
      <rPr>
        <sz val="11"/>
        <color rgb="FF000000"/>
        <rFont val="微软雅黑"/>
        <charset val="134"/>
      </rPr>
      <t xml:space="preserve">  </t>
    </r>
    <r>
      <rPr>
        <sz val="11"/>
        <color rgb="FF000000"/>
        <rFont val="微软雅黑"/>
        <charset val="134"/>
      </rPr>
      <t>里料：100%聚酯纤维</t>
    </r>
  </si>
  <si>
    <t>海盐蓝</t>
  </si>
  <si>
    <t>连衣裙</t>
  </si>
  <si>
    <t>309</t>
  </si>
  <si>
    <t>15%</t>
  </si>
  <si>
    <t>花灰色、藏青色</t>
  </si>
  <si>
    <t>面料：64.7%棉 35.3%聚酯纤维</t>
  </si>
  <si>
    <t>深碳灰、浅灰杏</t>
  </si>
  <si>
    <t>上半身：91.3%棉 8.7%氨纶 下半身：69.6%聚酯纤维 30.4%锦纶</t>
  </si>
  <si>
    <t>米白色,天蓝色</t>
  </si>
  <si>
    <t>主料：81.8%粘纤 15.2%锦纶 3.0%亚麻 里料：100%聚酯纤维</t>
  </si>
  <si>
    <t>米杏色,浅蓝色</t>
  </si>
  <si>
    <t>主料：68.0%棉 32.0%锦纶 拼料：100%聚酯纤维 里料：96.7%聚酯纤维 3.3%氨纶</t>
  </si>
  <si>
    <t>天空蓝、玫红色、浅黄色</t>
  </si>
  <si>
    <t>主料：69.6%聚酯纤维 30.4%锦纶 下摆：100%聚酯纤维  里料：100%聚酯纤维</t>
  </si>
  <si>
    <t>天蓝色、浅咖色</t>
  </si>
  <si>
    <t>主料：53.8%棉 46.2%莱赛尔  拼料：54.3%棉  45.7%莱赛尔</t>
  </si>
  <si>
    <t>白色,浅蓝色</t>
  </si>
  <si>
    <t>白色：主料：51.4%莱赛尔 26.8%醋纤 21.8%聚酯纤维  里料：96.7%聚酯纤维 3.3%氨纶
浅蓝色：主料：72.7%莱赛尔 27.3%锦纶  里料：96.7%聚酯纤维 3.3%氨纶</t>
  </si>
  <si>
    <t>奶杏色,浅蓝色</t>
  </si>
  <si>
    <t>枫叶棕,腰果花</t>
  </si>
  <si>
    <t>主料：100%聚酯纤维 里料：96.6%聚酯纤维 3.4%氨纶</t>
  </si>
  <si>
    <t>藏青格</t>
  </si>
  <si>
    <t>主料：93.6%聚酯纤维 6.4%氨纶 里料：100%聚酯纤维</t>
  </si>
  <si>
    <t>黑白格,浅蓝格</t>
  </si>
  <si>
    <r>
      <rPr>
        <sz val="11"/>
        <color rgb="FF000000"/>
        <rFont val="微软雅黑"/>
        <charset val="134"/>
      </rPr>
      <t>主料：100%聚酯纤维</t>
    </r>
    <r>
      <rPr>
        <sz val="11"/>
        <color rgb="FF000000"/>
        <rFont val="微软雅黑"/>
        <charset val="134"/>
      </rPr>
      <t xml:space="preserve">  </t>
    </r>
    <r>
      <rPr>
        <sz val="11"/>
        <color rgb="FF000000"/>
        <rFont val="微软雅黑"/>
        <charset val="134"/>
      </rPr>
      <t>里料：100%聚酯纤维</t>
    </r>
  </si>
  <si>
    <t>橙黄花</t>
  </si>
  <si>
    <t>主料：84.6%粘纤 15.4%锦纶 里料：100%聚酯纤维</t>
  </si>
  <si>
    <t>浅绿波点</t>
  </si>
  <si>
    <t>主料：83.2%莱赛尔 16.8%锦纶(含微量其他纤维；含胶) 里料：100%聚酯纤维</t>
  </si>
  <si>
    <t>红色碎花,蓝色碎花</t>
  </si>
  <si>
    <t>主料：99.4%聚酯纤维 0.6%氨纶 里料：100%聚酯纤维</t>
  </si>
  <si>
    <t>红底白花</t>
  </si>
  <si>
    <t>面料：100%聚酯纤维 里料：100%聚酯纤维</t>
  </si>
  <si>
    <t>红色碎花</t>
  </si>
  <si>
    <t>主料： 99.0%聚酯纤维 1.0%氨纶 里料： 100%聚酯纤维</t>
  </si>
  <si>
    <t>黑底蓝花</t>
  </si>
  <si>
    <t>黑底碎花,红底白花</t>
  </si>
  <si>
    <t>油画粉绿</t>
  </si>
  <si>
    <t>主料：100%聚酯纤维 里料：100%聚酯纤维</t>
  </si>
  <si>
    <t>藏青色,卡其绿</t>
  </si>
  <si>
    <t>主料：71.3%粘纤 28.7%锦纶</t>
  </si>
  <si>
    <t>吊带 背心</t>
  </si>
  <si>
    <t>黑白格子,绿格</t>
  </si>
  <si>
    <t>主料/里料：100%聚酯纤维</t>
  </si>
  <si>
    <t>米白色,秋黄色,月光蓝</t>
  </si>
  <si>
    <t>82.9%粘纤 17.1%锦纶</t>
  </si>
  <si>
    <t>衬衣</t>
  </si>
  <si>
    <t>夜幕中古蓝</t>
  </si>
  <si>
    <t>面料：90.8%棉 9.2%莱赛尔</t>
  </si>
  <si>
    <t>主料：61.9%聚酯纤维 38.1%棉 里料：100%聚酯纤维</t>
  </si>
  <si>
    <t>宝蓝条纹</t>
  </si>
  <si>
    <t>53.9%聚酯纤维 40.7%棉 5.4%粘纤</t>
  </si>
  <si>
    <t>61.9%聚酯纤维 38.1%棉</t>
  </si>
  <si>
    <t>牛仔原色</t>
  </si>
  <si>
    <t>78.1%棉 13.5%醋纤 8.4%莱赛尔</t>
  </si>
  <si>
    <t>天蓝色、浅粉色、白色</t>
  </si>
  <si>
    <t>黑色天蓝色嫩黄色粉色克莱因蓝天亮白紫霞仙紫烟雾紫安可拉红</t>
  </si>
  <si>
    <t>粉色/黑色/天蓝色/天亮白/克莱因蓝/烟雾紫：86.7%聚酯纤维 13.3%棉</t>
  </si>
  <si>
    <t>米白色浅紫色星钻蓝</t>
  </si>
  <si>
    <t>白底宝蓝条、冰川蓝</t>
  </si>
  <si>
    <t>白底宝蓝条：50.5%聚酯纤维 43.9%棉 5.6%粘纤   冰川蓝:53.7%棉 46.3%莱赛尔</t>
  </si>
  <si>
    <t>粉色条纹</t>
  </si>
  <si>
    <t>面料：57.7%聚酯纤维 42.3%棉</t>
  </si>
  <si>
    <t>黑白条,浅白蓝格</t>
  </si>
  <si>
    <t>浅白蓝格面料：68.9%聚酯纤维 25.4%棉 5.7%粘纤 黑白条面料：79.6%莱赛尔 15.5%锦纶 4.9%聚酯纤维</t>
  </si>
  <si>
    <t>浅蓝格,杏黑格</t>
  </si>
  <si>
    <t>64.5%聚酯纤维 35.5%棉</t>
  </si>
  <si>
    <t>黑白格子,橘色碎花</t>
  </si>
  <si>
    <t>100%聚酯纤维</t>
  </si>
  <si>
    <t>藏青格,橘白格子</t>
  </si>
  <si>
    <t>74.2%再生纤维素纤维 19.3%锦纶 6.5%棉</t>
  </si>
  <si>
    <t>白色,克莱因蓝</t>
  </si>
  <si>
    <t>白色：72.5%粘纤 27.5%锦纶</t>
  </si>
  <si>
    <t>黄格,浅蓝格</t>
  </si>
  <si>
    <t>安可拉红,白色,牛油果绿,星钻蓝,樱花粉</t>
  </si>
  <si>
    <t>面料：100%棉</t>
  </si>
  <si>
    <t>天蓝色、白色</t>
  </si>
  <si>
    <t>60.5%莱赛尔 20.8%醋纤 14.8%聚酯纤维 3.9%亚麻</t>
  </si>
  <si>
    <t>白色,奶油黄,云海蓝</t>
  </si>
  <si>
    <t>浅蓝白格</t>
  </si>
  <si>
    <r>
      <rPr>
        <sz val="11"/>
        <color rgb="FF000000"/>
        <rFont val="微软雅黑"/>
        <charset val="134"/>
      </rPr>
      <t>64.6%聚酯纤维</t>
    </r>
    <r>
      <rPr>
        <sz val="11"/>
        <color rgb="FF000000"/>
        <rFont val="微软雅黑"/>
        <charset val="134"/>
      </rPr>
      <t xml:space="preserve">  </t>
    </r>
    <r>
      <rPr>
        <sz val="11"/>
        <color rgb="FF000000"/>
        <rFont val="微软雅黑"/>
        <charset val="134"/>
      </rPr>
      <t>35.4%再生纤维素纤维</t>
    </r>
  </si>
  <si>
    <t>半身裙</t>
  </si>
  <si>
    <t>深灰色,星钻蓝</t>
  </si>
  <si>
    <t>主料：81.7%聚酯纤维 18.3%棉</t>
  </si>
  <si>
    <t>主料：97.6%聚酯纤维 2.4%氨纶 里料：96.6%聚酯纤维 3.4%氨纶</t>
  </si>
  <si>
    <t>白色</t>
  </si>
  <si>
    <t>主料： 46.1%聚酯纤维 29.4%锦纶 23.9%粘纤 0.6%氨纶 里料：96.6%聚酯纤维 3.4%氨纶</t>
  </si>
  <si>
    <t>浅绿色</t>
  </si>
  <si>
    <r>
      <rPr>
        <sz val="11"/>
        <color rgb="FF000000"/>
        <rFont val="微软雅黑"/>
        <charset val="134"/>
      </rPr>
      <t>主料： 85.0%莱赛尔 15.0%锦纶</t>
    </r>
    <r>
      <rPr>
        <sz val="11"/>
        <color rgb="FF000000"/>
        <rFont val="微软雅黑"/>
        <charset val="134"/>
      </rPr>
      <t xml:space="preserve">  </t>
    </r>
    <r>
      <rPr>
        <sz val="11"/>
        <color rgb="FF000000"/>
        <rFont val="微软雅黑"/>
        <charset val="134"/>
      </rPr>
      <t>里料： 100%聚酯纤维</t>
    </r>
  </si>
  <si>
    <t>浅粉色,浅杏色</t>
  </si>
  <si>
    <t>主料：82.8%莱赛尔 17.2%锦纶 里料：100%聚酯纤维</t>
  </si>
  <si>
    <t>黑色、米白色、黄色</t>
  </si>
  <si>
    <t>面料：65.6%聚酯纤维 34.4%粘纤 里料：100%聚酯纤维</t>
  </si>
  <si>
    <t>星钻蓝、米白色、黄色</t>
  </si>
  <si>
    <t>面料：62.8%聚酯纤维 37.2%粘纤 里料：100%聚酯纤维</t>
  </si>
  <si>
    <t>T恤</t>
  </si>
  <si>
    <t>白色,黑色,燕麦色</t>
  </si>
  <si>
    <t>安可拉红,浅蓝色,深灰色</t>
  </si>
  <si>
    <t>面料：60.2%聚酯纤维 30.4%莱赛尔 9.4%绵羊毛</t>
  </si>
  <si>
    <t>浅紫色,天蓝色</t>
  </si>
  <si>
    <t>白色,浅花灰,天蓝色</t>
  </si>
  <si>
    <t>白色/浅花灰：36.4%粘纤 29.4%棉 25.4%腈纶 8.8%氨纶 天蓝色：31.4%粘纤 31.2%腈纶 28.5%棉 8.9%氨纶</t>
  </si>
  <si>
    <t>黑色,天蓝色</t>
  </si>
  <si>
    <t>80.4%莱赛尔 16.7%绵羊毛 2.9%氨纶</t>
  </si>
  <si>
    <t>白色,浅粉色</t>
  </si>
  <si>
    <t>橘黄紫花,绿紫碎花,釉蓝印花</t>
  </si>
  <si>
    <t>藏青-粉色,米白-绿色</t>
  </si>
  <si>
    <t>主料：100%莱赛尔   袖子：58.9%聚酯纤维 37.3%粘纤 3.8%氨纶</t>
  </si>
  <si>
    <t>液氨</t>
  </si>
  <si>
    <t>天丝亚麻</t>
  </si>
  <si>
    <t>白色,黑色,花灰色</t>
  </si>
  <si>
    <t>38.8%粘纤 29.6%腈纶 23.4%棉 5.4%氨纶 2.8%绵羊毛</t>
  </si>
  <si>
    <t>黑色,橘红色,咖色,米白色</t>
  </si>
  <si>
    <t>37.7%粘纤 27.2%腈纶 24.8%棉 5.7%氨纶 4.6%绵羊毛</t>
  </si>
  <si>
    <t>浅蓝条,枣红杏条</t>
  </si>
  <si>
    <t>浅蓝条：85.0%聚酯纤维 15.0%棉 枣红杏条：90.6%聚酯纤维 9.4%棉</t>
  </si>
  <si>
    <t>暗红格,黑白格子,油画彩色</t>
  </si>
  <si>
    <t>黑白格子,卡通蓝格,蓝绿格,油画彩色,油画绿</t>
  </si>
  <si>
    <t>黑色,花灰色</t>
  </si>
  <si>
    <r>
      <rPr>
        <sz val="11"/>
        <color rgb="FF000000"/>
        <rFont val="微软雅黑"/>
        <charset val="134"/>
      </rPr>
      <t>主料：55.0%聚酯纤维 45.0%棉</t>
    </r>
    <r>
      <rPr>
        <sz val="11"/>
        <color rgb="FF000000"/>
        <rFont val="微软雅黑"/>
        <charset val="134"/>
      </rPr>
      <t xml:space="preserve">  </t>
    </r>
    <r>
      <rPr>
        <sz val="11"/>
        <color rgb="FF000000"/>
        <rFont val="微软雅黑"/>
        <charset val="134"/>
      </rPr>
      <t>袖子：97.1%锦纶 2.9%氨纶</t>
    </r>
  </si>
  <si>
    <t>安可拉红,宝蓝色</t>
  </si>
  <si>
    <t>主料：72.8%棉 27.2%聚酯纤维</t>
  </si>
  <si>
    <t>白色,黑色</t>
  </si>
  <si>
    <t>白色,花灰色,桃粉色</t>
  </si>
  <si>
    <t>46.0%莱赛尔 45.3%棉 8.7%氨纶</t>
  </si>
  <si>
    <t>浅紫色,天蓝色,樱花粉</t>
  </si>
  <si>
    <t>主料：98.0%聚酯纤维 2.0%氨纶</t>
  </si>
  <si>
    <t>面料：100%莱赛尔</t>
  </si>
  <si>
    <t>湖水蓝,浅粉色</t>
  </si>
  <si>
    <t>主料：46.0%莱赛尔 45.3%棉 8.7%氨纶</t>
  </si>
  <si>
    <t>渐变蓝</t>
  </si>
  <si>
    <t>花灰色,浅米色</t>
  </si>
  <si>
    <t>主料：面层：59.2%棉 40.8%聚酯纤维(含胶) 底层：100%聚酯纤维 左袖：47.8%棉 45.6%聚酯纤维 6.6%粘纤</t>
  </si>
  <si>
    <t>白色,藏青色</t>
  </si>
  <si>
    <t>主料：72.6%棉 19.9%莱赛尔 7.5%氨纶</t>
  </si>
  <si>
    <t>米白色,天蓝色,樱粉色</t>
  </si>
  <si>
    <t>主料：50.4%棉 49.6%聚酯纤维</t>
  </si>
  <si>
    <t>主料：75.0%棉 25.0%聚酯纤维</t>
  </si>
  <si>
    <t>面料：69.6%棉 26.5%聚酯纤维 3.9%亚麻</t>
  </si>
  <si>
    <t>藏青色,米白色</t>
  </si>
  <si>
    <t>配件</t>
  </si>
  <si>
    <t>天蓝色、浅咖色、米白色、绿色、黄色</t>
  </si>
  <si>
    <t>100%粘纤            规格：100cm*42cm</t>
  </si>
  <si>
    <t>咖色、宝蓝色</t>
  </si>
  <si>
    <t>面料：62.5%粘纤 37.5%锦纶</t>
  </si>
  <si>
    <t>18525140H1</t>
  </si>
  <si>
    <t>多色</t>
  </si>
  <si>
    <t>F18627944</t>
  </si>
  <si>
    <t>面料：66.6%粘纤 33.4%聚酯纤维</t>
  </si>
  <si>
    <t>W18618743</t>
  </si>
  <si>
    <t>天空蓝、浅米黄</t>
  </si>
  <si>
    <t>面料：41.4%聚酯纤维 29.6%锦纶 29.0%粘纤</t>
  </si>
  <si>
    <t>杏色</t>
  </si>
  <si>
    <t>面料：100%腈纶</t>
  </si>
  <si>
    <t>W18525322</t>
  </si>
  <si>
    <t>星空蓝</t>
  </si>
  <si>
    <t>面料：75.0%聚酯纤维（含聚酯薄膜纤维） 18.5%粘纤 6.5%锦纶</t>
  </si>
  <si>
    <t>蓝色、藕粉色</t>
  </si>
  <si>
    <t>面料：46.2%聚酯纤维 30.6%粘纤 23.2%锦纶</t>
  </si>
  <si>
    <t>D18628693</t>
  </si>
  <si>
    <t>黄色、灰色、绿色、杏色、粉色</t>
  </si>
  <si>
    <t>38.9%再生纤维素纤维31.5%锦纶21.3%腈纶8.3%亚麻</t>
  </si>
  <si>
    <t>D18628827</t>
  </si>
  <si>
    <t>黄色、灰色、粉色</t>
  </si>
  <si>
    <t>57.4%再生纤维素纤维 30.7%腈纶 11.9%亚麻</t>
  </si>
  <si>
    <t>D18628603</t>
  </si>
  <si>
    <t>蓝色、杏色、豆绿</t>
  </si>
  <si>
    <t>69.1%粘纤30.9%锦纶</t>
  </si>
  <si>
    <t>D18628867</t>
  </si>
  <si>
    <t>肉粉色</t>
  </si>
  <si>
    <t>外层：100%粘纤 内层：81.4%粘纤 18.6%锦纶</t>
  </si>
  <si>
    <t>D18628519</t>
  </si>
  <si>
    <t>黄色、紫色、灰、粉色</t>
  </si>
  <si>
    <t xml:space="preserve">41.0%腈纶23.8%莱赛尔16.1%锦纶9.6%聚酯纤维9.5%亚麻 </t>
  </si>
  <si>
    <t>D18618792</t>
  </si>
  <si>
    <t>浅黄色、湖蓝色、大象灰</t>
  </si>
  <si>
    <t>D18628829</t>
  </si>
  <si>
    <t>克莱因蓝</t>
  </si>
  <si>
    <t>72.6%粘纤27.4%聚酯纤维</t>
  </si>
  <si>
    <t>浅紫色、宝蓝色、黄色、克莱因蓝</t>
  </si>
  <si>
    <t>黄色/宝蓝色/浅紫色 面料：31.6%聚酯纤维 31.4%腈纶 20.4%再生纤维素纤维 16.6%锦纶 (装饰部分除外)
克莱因蓝 面料：30.9%聚酯纤维 24.7%粘纤 24.4%腈纶 20.0%锦纶 (装饰部分除外)</t>
  </si>
  <si>
    <t>白黑条、黑白条纹</t>
  </si>
  <si>
    <t>黑白条纹 面料：57.9%聚酯纤维 20.3%腈纶 16.9%锦纶 4.9%绵羊毛
白黑条 面料：47.7%聚酯纤维 28.9%腈纶 18.6%锦纶 4.8%绵羊毛</t>
  </si>
  <si>
    <t>W18637061</t>
  </si>
  <si>
    <t>W18538192</t>
  </si>
  <si>
    <t>羊毛衫</t>
  </si>
  <si>
    <t>长袖衬衣</t>
  </si>
  <si>
    <t>透气黄、珍珠白、薰衣草紫、冰川蓝、冰川粉</t>
  </si>
  <si>
    <t>面料：96.2%莱赛尔3.8%亚麻</t>
  </si>
  <si>
    <t>浅蓝色、浅绿色、丁香紫、鹅黄色、霜白色、薄荷绿、粉红色</t>
  </si>
  <si>
    <t>面料：84.4%莱赛尔15.6%聚酯纤维</t>
  </si>
  <si>
    <t>丁香粉清水绿</t>
  </si>
  <si>
    <t>面料： 84.5%莱赛尔 15.5%锦纶</t>
  </si>
  <si>
    <t>粉红色、香芋紫梦幻蓝</t>
  </si>
  <si>
    <t>面料：85.3%莱赛尔 14.7%聚酯纤维</t>
  </si>
  <si>
    <t>豆绿色\藕粉色、浅杏色</t>
  </si>
  <si>
    <t>面料：100%锦纶</t>
  </si>
  <si>
    <t>罗兰紫、珍珠白、卡其色、深酒红</t>
  </si>
  <si>
    <t>75.9% 棉 + 21% 锦纶 + 3.1% 氨纶，弹力舒适耐磨。修身版型显腿长，搭 T 恤休闲、配衬衫通勤，百搭实用！</t>
  </si>
  <si>
    <t>浅紫色、皮粉色、珍珠白、水蓝色</t>
  </si>
  <si>
    <t>面料:63.8%聚酯纤维 36.2%棉</t>
  </si>
  <si>
    <t>浅紫色、鹅黄色、海蓝色</t>
  </si>
  <si>
    <t>面料:100%棉</t>
  </si>
  <si>
    <t>浅蓝色、米白色</t>
  </si>
  <si>
    <t>面料：100%棉 （花边除外）</t>
  </si>
  <si>
    <t>紫色、珍珠白</t>
  </si>
  <si>
    <t>浅蓝色、珍珠白</t>
  </si>
  <si>
    <t>面料：100%棉（花边除外）</t>
  </si>
  <si>
    <t>米杏色、釉蓝色</t>
  </si>
  <si>
    <t>K18637810</t>
  </si>
  <si>
    <t>米白色</t>
  </si>
  <si>
    <t>面料：底布：100%棉 绣花线：100%棉 领口花边：100%聚酯纤维</t>
  </si>
  <si>
    <t>W18637136</t>
  </si>
  <si>
    <t>珍珠白</t>
  </si>
  <si>
    <t>面料/花边：100%棉</t>
  </si>
  <si>
    <t>K18637369</t>
  </si>
  <si>
    <t>珍珠白、姜黄色</t>
  </si>
  <si>
    <t>W18518278</t>
  </si>
  <si>
    <t>面料：55.0%棉 45.0%莱赛尔</t>
  </si>
  <si>
    <t>盐白色、浅紫色</t>
  </si>
  <si>
    <t>浅水蓝/珍珠白/米白色/面料：100%棉（花边除外）
象牙白面料：56.5%棉 43.5%莱赛尔（花边除外）</t>
  </si>
  <si>
    <t>象牙白、浅水蓝、米白色、珍珠白</t>
  </si>
  <si>
    <t>米白色、海盐蓝</t>
  </si>
  <si>
    <t>18518163H2</t>
  </si>
  <si>
    <t>天蓝色、宝石蓝、烟雾蓝、皮粉色、珍珠白、克莱因蓝、水蓝色</t>
  </si>
  <si>
    <t>珍珠白面料：82.0%聚酯纤维 18.0%棉
宝石蓝面料：89.3%聚酯纤维 10.7%棉
烟雾蓝/克莱因蓝/皮粉色/天蓝色/水蓝色面料：63.8%聚酯纤维 36.2%棉</t>
  </si>
  <si>
    <t>珍珠白、藕粉色</t>
  </si>
  <si>
    <t>米杏色、浅米杏</t>
  </si>
  <si>
    <t>米杏色 面料：100%棉
浅米杏 面料/前幅里：100%棉</t>
  </si>
  <si>
    <t>裤子</t>
  </si>
  <si>
    <t>奶杏色、午夜黑、深灰色</t>
  </si>
  <si>
    <t>奶杏色/深灰色 面料：面层：98.6%聚酯纤维 1.4%氨纶 底层：87.0%聚酯纤维 13.0%粘纤
午夜黑 面料：面层：98.6%聚酯纤维 1.4%氨纶 底层：94.5%聚酯纤维 5.5%氨纶</t>
  </si>
  <si>
    <t>宝蓝格、杏咖格</t>
  </si>
  <si>
    <t>面料:84.0%聚酯纤维 13.9%粘纤 2.1%氨纶</t>
  </si>
  <si>
    <t>棕色、复古绿、复古红、奶杏色、梨花杏</t>
  </si>
  <si>
    <t>K18637469</t>
  </si>
  <si>
    <t>深牛仔蓝、牛仔蓝</t>
  </si>
  <si>
    <t>浅驼色</t>
  </si>
  <si>
    <t>浅牛仔</t>
  </si>
  <si>
    <t>深卡其</t>
  </si>
  <si>
    <t>灰白色</t>
  </si>
  <si>
    <t>毛绒面：96.0%聚酯纤维 4.0%氨纶 平纹面：100%聚酯纤维</t>
  </si>
  <si>
    <t>W18637065</t>
  </si>
  <si>
    <t>苍蓝色</t>
  </si>
  <si>
    <t>面料：面层：82.3%聚酯纤维10.5%棉7.2%粘纤底层：100%聚酯纤维（胶除外）里料：100%聚酯纤维</t>
  </si>
  <si>
    <t>深牛仔蓝</t>
  </si>
  <si>
    <t>面料：63.1%棉 25.2%聚酯纤维 11.7%莱赛尔（绣花除外）</t>
  </si>
  <si>
    <t>卡其色</t>
  </si>
  <si>
    <t>面料：88.2%聚酯纤维 11.8%氨纶 里料：100%聚酯纤维</t>
  </si>
  <si>
    <t>草绿色、紫色、黄色</t>
  </si>
  <si>
    <t>面料：73.5%棉 26.5%锦纶 里料：100%聚酯纤维</t>
  </si>
  <si>
    <t>苏木紫</t>
  </si>
  <si>
    <t>面料：100%棉 里料： 100%聚酯纤维</t>
  </si>
  <si>
    <t>经典卡其</t>
  </si>
  <si>
    <t>面料：100%棉（绣花除外） 里料： 100%聚酯纤维</t>
  </si>
  <si>
    <t>Z18538288</t>
  </si>
  <si>
    <t>雾霾蓝、烟雾蓝</t>
  </si>
  <si>
    <t>Z18627742</t>
  </si>
  <si>
    <t>子夜黑、晴空中蓝</t>
  </si>
  <si>
    <t>Z18332455H1</t>
  </si>
  <si>
    <t>浅蓝色、牛仔蓝、丹宁蓝、晴空蓝</t>
  </si>
  <si>
    <t>丹宁蓝面料：66.9%棉 28.8%聚酯纤维 2.9%粘纤 1.4%氨纶 
晴空蓝 面料：72.7%棉 22.8%聚酯纤维 2.4%氨纶 2.1%粘纤</t>
  </si>
  <si>
    <t>Z18528694H1</t>
  </si>
  <si>
    <t>晴空中蓝</t>
  </si>
  <si>
    <t>面料： 100%棉</t>
  </si>
  <si>
    <t>Z18425184</t>
  </si>
  <si>
    <t>单色</t>
  </si>
  <si>
    <t>面料：56.3%棉 43.7%莱赛尔</t>
  </si>
  <si>
    <t>Z18618656</t>
  </si>
  <si>
    <t>面料：99.4%棉 0.6%氨纶</t>
  </si>
  <si>
    <t>Z18618807</t>
  </si>
  <si>
    <t>鹭白色</t>
  </si>
  <si>
    <t>面料：78.6%棉 18.2%聚酯纤维 3.2%氨纶</t>
  </si>
  <si>
    <t>面料：64.7%棉24.4%聚酯纤维10.9%莱赛尔</t>
  </si>
  <si>
    <t>W18518060</t>
  </si>
  <si>
    <t>蓝色</t>
  </si>
  <si>
    <t>面料：84.7%粘纤 15.3%锦纶  里料：100%聚酯纤维</t>
  </si>
  <si>
    <t>鹅黄色、水蓝色</t>
  </si>
  <si>
    <t>98%棉2%氨纶</t>
  </si>
  <si>
    <t>W18625611</t>
  </si>
  <si>
    <t>面料：53.2%苎麻 46.8%莱赛尔 里料：100%聚酯纤维</t>
  </si>
  <si>
    <t>W18625244</t>
  </si>
  <si>
    <t>面料：100%棉 里料：100%聚酯纤维</t>
  </si>
  <si>
    <t>W18525387</t>
  </si>
  <si>
    <t>云朵白</t>
  </si>
  <si>
    <t>D18628804</t>
  </si>
  <si>
    <t>白色、蓝色、粉色</t>
  </si>
  <si>
    <t>面料： 100%棉 （涂料除外）里料：100%聚酯纤维</t>
  </si>
  <si>
    <t>D18628886</t>
  </si>
  <si>
    <t>蓝色、黑色</t>
  </si>
  <si>
    <t xml:space="preserve"> 上节：47.3%粘纤44.3%棉8.4%氨纶 下节：100%棉</t>
  </si>
  <si>
    <t>D18628706</t>
  </si>
  <si>
    <t>浅蓝格</t>
  </si>
  <si>
    <t>W18627148</t>
  </si>
  <si>
    <t>面料：底布：100%棉 绣线：100%聚酯纤维  里料：100%聚酯纤维</t>
  </si>
  <si>
    <t>W18618339</t>
  </si>
  <si>
    <t>面料：77.8%粘纤 22.2%锦纶 里料：100%聚酯纤维</t>
  </si>
  <si>
    <t>W18618299</t>
  </si>
  <si>
    <t>面料：82.0%棉 18.0%麻纤维 里料：100%棉</t>
  </si>
  <si>
    <t>D18628724</t>
  </si>
  <si>
    <t>蓝色、杏色</t>
  </si>
  <si>
    <t xml:space="preserve"> 面料：51.2%棉48.8%再生纤维素纤维(涂料除外) 里料：100%聚酯纤维</t>
  </si>
  <si>
    <t>藏青</t>
  </si>
  <si>
    <t>面料：100%棉 上节前幅里：100%聚酯纤维
藏青蓝面料：63.1%棉  36.9%聚酯纤维 上节前幅里：100%聚酯纤维</t>
  </si>
  <si>
    <t>D18628484</t>
  </si>
  <si>
    <t xml:space="preserve"> 面料：底布：69.3%莱赛尔 30.7%锦纶 绣花线：棉/聚酯纤维 里料：100%聚酯纤维</t>
  </si>
  <si>
    <t>D18628893</t>
  </si>
  <si>
    <t>浅杏色</t>
  </si>
  <si>
    <t>浅黄色</t>
  </si>
  <si>
    <t>98.5%棉 1.5%氨纶</t>
  </si>
  <si>
    <t>F18528168</t>
  </si>
  <si>
    <t>鹅黄色珍珠粉星石黑海盐蓝</t>
  </si>
  <si>
    <t>D18628710</t>
  </si>
  <si>
    <t>蓝底咖花</t>
  </si>
  <si>
    <t>D18628760</t>
  </si>
  <si>
    <t>面料/里料：100%聚酯纤维</t>
  </si>
  <si>
    <t>W18625113</t>
  </si>
  <si>
    <t>繁花</t>
  </si>
  <si>
    <t>面料：底布：100%聚酯纤维 绣线：100%棉  里料：100%聚酯纤维</t>
  </si>
  <si>
    <t>F18627612</t>
  </si>
  <si>
    <t>短袖衬衣</t>
  </si>
  <si>
    <t>浅紫色、藏青色、浅粉色、月牙白</t>
  </si>
  <si>
    <t>天蓝色、浅绿色、芋泥紫、白色、果绿色</t>
  </si>
  <si>
    <t>面料： 100%棉（花边除外）</t>
  </si>
  <si>
    <t>天空蓝、芋泥紫、白色</t>
  </si>
  <si>
    <t>D18628806</t>
  </si>
  <si>
    <t>淡雅紫、冰川蓝</t>
  </si>
  <si>
    <t>面料：96.2%莱赛尔 3.8%亚麻</t>
  </si>
  <si>
    <t>F18528119H1</t>
  </si>
  <si>
    <t>浅蓝色、淡粉色、白色、嫩黄色</t>
  </si>
  <si>
    <t>浅紫色、盐白色、海盐蓝</t>
  </si>
  <si>
    <t>浅紫色、盐白色、皮粉色</t>
  </si>
  <si>
    <t>D18628855</t>
  </si>
  <si>
    <t>蓝色、白色、粉色</t>
  </si>
  <si>
    <t>K18529055H1</t>
  </si>
  <si>
    <t>米白、薄荷绿</t>
  </si>
  <si>
    <t>面料;100%棉</t>
  </si>
  <si>
    <t>F18525494</t>
  </si>
  <si>
    <t>蓝条</t>
  </si>
  <si>
    <t>/</t>
  </si>
  <si>
    <t>面料：58.8%莱赛尔 41.2%棉（绣花除外）</t>
  </si>
  <si>
    <t>W18625456</t>
  </si>
  <si>
    <t>深蓝色</t>
  </si>
  <si>
    <t>面料/里料下摆：74.5%棉 25.5%聚酯纤维 （绣线除外）（花边除外） 里料：100%聚酯纤维</t>
  </si>
  <si>
    <t>浅蓝色、蓝色、象牙白、米白色、珍珠白、白色、黄色、浅黄色、纯白色</t>
  </si>
  <si>
    <t>面料：100%棉 花边：100%棉
纯白色：面料：74.6%粘纤 25.4%棉 花边：100%棉</t>
  </si>
  <si>
    <t>白色、冰川蓝</t>
  </si>
  <si>
    <t>面料：93.9%苎麻 6.1%聚酯纤维（花边除外）</t>
  </si>
  <si>
    <t>海蓝色</t>
  </si>
  <si>
    <t>宝蓝格、红格</t>
  </si>
  <si>
    <t>浅杏白</t>
  </si>
  <si>
    <t>F18628201</t>
  </si>
  <si>
    <t>面料：79.9%棉 17.5%聚酯纤维 2.6%氨纶</t>
  </si>
  <si>
    <t>面料：92.0%莱赛尔8.0%氨纶 里料：89.8%锦纶10.2%氨纶</t>
  </si>
  <si>
    <t>F18525419</t>
  </si>
  <si>
    <t>白粉、黑色、宝蓝色、藕粉色、白色、白绿条纹、白蓝条、白黑条</t>
  </si>
  <si>
    <t>方形领口设计不仅时尚，还能修饰颈部线条，显得更加优雅，上衣既可以作为日常休闲装，也可以搭配正式一点的下装，如西装裤或裙子，用于半正式场合。</t>
  </si>
  <si>
    <t>D18628050</t>
  </si>
  <si>
    <t>粉黄花</t>
  </si>
  <si>
    <t xml:space="preserve"> 面料：100%棉 里料： 100%聚酯纤维</t>
  </si>
  <si>
    <t>D18628786</t>
  </si>
  <si>
    <t>黑色波点、米白波点</t>
  </si>
  <si>
    <t>面料：68.6%粘纤 31.4%锦纶</t>
  </si>
  <si>
    <t>D18627970</t>
  </si>
  <si>
    <t>牛仔蓝、岩白色</t>
  </si>
  <si>
    <t>面料：74.2%聚酯纤维 25.8%棉</t>
  </si>
  <si>
    <t>D18628826</t>
  </si>
  <si>
    <t>面料：基布：100%棉 绣花线：100%聚酯纤维 里料：100%聚酯纤维</t>
  </si>
  <si>
    <t>W18625528</t>
  </si>
  <si>
    <t>面料：100%棉（绣花除外） 里料：96.5%聚酯纤维 3.5%氨纶</t>
  </si>
  <si>
    <t>D18528153</t>
  </si>
  <si>
    <t>藏青蓝、军绿色、咖啡色</t>
  </si>
  <si>
    <t>茶咖</t>
  </si>
  <si>
    <t>午夜黑、灰色</t>
  </si>
  <si>
    <t>面料：82.0%聚酯纤维 18.0%粘纤</t>
  </si>
  <si>
    <t>白杏</t>
  </si>
  <si>
    <t>W18637334</t>
  </si>
  <si>
    <t>咖啡色</t>
  </si>
  <si>
    <t>面料：80.2%聚酯纤维 18.0%粘纤 1.8%氨纶 里料：100%聚酯纤维</t>
  </si>
  <si>
    <t>W18625449</t>
  </si>
  <si>
    <t>鹅黄色、藕粉色</t>
  </si>
  <si>
    <t>面料：70.2%棉 29.8%锦纶 里料：100%聚酯纤维</t>
  </si>
  <si>
    <t>W18625462</t>
  </si>
  <si>
    <t>82.0%聚酯纤维 18.0%粘纤</t>
  </si>
  <si>
    <t>18332071H1</t>
  </si>
  <si>
    <t>浅牛仔、珍珠白</t>
  </si>
  <si>
    <t>珍珠白 面料：70.0%棉 30.0%莱赛尔
浅牛仔 面料：100%棉</t>
  </si>
  <si>
    <t>TS18627651</t>
  </si>
  <si>
    <t>珍珠白、午夜黑、浅蓝色、灰紫色、浅杏色、淡粉色</t>
  </si>
  <si>
    <t>含棉质成分，具备天然柔软触感，亲肤透气性能佳，长时间穿着不易闷热，能有效吸收肌肤表面湿气，保持肌肤干爽舒适，添加莱赛尔纤维，兼具天然纤维的舒适与合成纤维的耐用，面料垂坠感好不易变形，吸湿透气性优异，且具有良好的光泽度，含氨纶弹性纤维，赋予面料出色的拉伸回复性能，穿着时活动更自由无束缚，衣物不易松弛变形，能更好地贴合身形</t>
  </si>
  <si>
    <t>W18625215</t>
  </si>
  <si>
    <t>云朵白、午夜黑、克莱因蓝、珍珠白</t>
  </si>
  <si>
    <t>F18314434H1</t>
  </si>
  <si>
    <t>100棉</t>
  </si>
  <si>
    <t>深花灰、杏色</t>
  </si>
  <si>
    <t>米白</t>
  </si>
  <si>
    <t>瓷白色</t>
  </si>
  <si>
    <t>深藏青、白色、灰色</t>
  </si>
  <si>
    <t>宝蓝色、酒红色</t>
  </si>
  <si>
    <t>93.6%棉 6.4%氨纶</t>
  </si>
  <si>
    <t>F18637789</t>
  </si>
  <si>
    <t>浅蓝色、皮粉色、黄色</t>
  </si>
  <si>
    <t>面料：98.2%聚酯纤维 1.8%氨纶</t>
  </si>
  <si>
    <t>F18637790</t>
  </si>
  <si>
    <t>土卡其、紫色</t>
  </si>
  <si>
    <t>面料：94.4%聚酯纤维 5.6%氨纶</t>
  </si>
  <si>
    <t>(仿)毛衣</t>
  </si>
  <si>
    <t>姜黄色</t>
  </si>
  <si>
    <t>面料：92.3%聚酯纤维 3.2%锦纶 2.4%绵羊毛 2.1%氨纶（贴布绣花除外）</t>
  </si>
  <si>
    <t>W18637258</t>
  </si>
  <si>
    <t>湛蓝色、贵族灰橙色、浅米黄</t>
  </si>
  <si>
    <t>面料：52.8%粘纤 29.3%聚酯纤维 17.9%锦纶</t>
  </si>
  <si>
    <t>W18637195</t>
  </si>
  <si>
    <t>藏青色、藕粉色、浅灰色</t>
  </si>
  <si>
    <t>面料：41.8%锦纶 31.8%聚酯纤维 19.9%腈纶 6.5%绵羊毛</t>
  </si>
  <si>
    <t>花灰色、黄色</t>
  </si>
  <si>
    <t>面料：66.0%腈纶 13.7%锦纶 13.4%聚酯纤维6.9%其他纤维（蓝色纱除外）</t>
  </si>
  <si>
    <t>面料：32.2%腈纶 29.9%聚酯纤维 20.1%再生纤维素纤维 17.8%锦纶</t>
  </si>
  <si>
    <t>蓝色、红色</t>
  </si>
  <si>
    <t>红色 面料：73.2%聚酯纤维 23.1%腈纶 3.7%绵羊毛（浅蓝色纱和深蓝色纱除外）
蓝色 白色纱：73.5%聚酯纤维 23.6%腈纶 2.9%绵羊毛 蓝色纱：80.1%聚酯纤维 16.4%腈纶 3.5%绵羊毛（红色纱和黑色纱除外）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</si>
</sst>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&quot;.&quot;0,&quot;万元&quot;"/>
  </numFmts>
  <fonts count="45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6"/>
      <color rgb="FFFF0000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Microsoft JhengHei"/>
      <charset val="134"/>
    </font>
    <font>
      <sz val="11"/>
      <color rgb="FF333333"/>
      <name val="微软雅黑"/>
      <charset val="134"/>
    </font>
    <font>
      <sz val="9.75"/>
      <color theme="1"/>
      <name val="Microsoft JhengHei"/>
      <charset val="134"/>
    </font>
    <font>
      <sz val="11"/>
      <color rgb="FF000000"/>
      <name val="宋体"/>
      <charset val="134"/>
    </font>
    <font>
      <sz val="11"/>
      <color indexed="8"/>
      <name val="微软雅黑"/>
      <charset val="134"/>
    </font>
    <font>
      <sz val="9"/>
      <color theme="1"/>
      <name val="Microsoft JhengHei"/>
      <charset val="134"/>
    </font>
    <font>
      <sz val="9"/>
      <color theme="1"/>
      <name val="微软雅黑"/>
      <charset val="134"/>
    </font>
    <font>
      <sz val="9"/>
      <color indexed="8"/>
      <name val="微软雅黑"/>
      <charset val="134"/>
    </font>
    <font>
      <b/>
      <sz val="11"/>
      <color rgb="FF000000"/>
      <name val="微软雅黑"/>
      <charset val="134"/>
    </font>
    <font>
      <sz val="9"/>
      <color rgb="FF000000"/>
      <name val="微软雅黑"/>
      <charset val="134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4"/>
      <color rgb="FFFF0000"/>
      <name val="微软雅黑"/>
      <charset val="134"/>
    </font>
    <font>
      <sz val="11"/>
      <color rgb="FFFF0000"/>
      <name val="微软雅黑"/>
      <charset val="134"/>
    </font>
    <font>
      <sz val="12"/>
      <color rgb="FF000000"/>
      <name val="微软雅黑"/>
      <charset val="134"/>
    </font>
    <font>
      <sz val="14"/>
      <color rgb="FF000000"/>
      <name val="微软雅黑"/>
      <charset val="134"/>
    </font>
    <font>
      <sz val="20"/>
      <color rgb="FFFF0000"/>
      <name val="微软雅黑"/>
      <charset val="134"/>
    </font>
    <font>
      <sz val="24"/>
      <color rgb="FFFF0000"/>
      <name val="微软雅黑"/>
      <charset val="134"/>
    </font>
    <font>
      <sz val="10"/>
      <color rgb="FF000000"/>
      <name val="微软雅黑"/>
      <charset val="134"/>
    </font>
    <font>
      <sz val="12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808080"/>
      </left>
      <right/>
      <top style="hair">
        <color rgb="FF808080"/>
      </top>
      <bottom style="hair">
        <color rgb="FF808080"/>
      </bottom>
      <diagonal/>
    </border>
    <border>
      <left/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dotted">
        <color rgb="FF808080"/>
      </left>
      <right/>
      <top style="dotted">
        <color rgb="FF808080"/>
      </top>
      <bottom style="dotted">
        <color rgb="FF80808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6" borderId="16" applyNumberFormat="0" applyAlignment="0" applyProtection="0">
      <alignment vertical="center"/>
    </xf>
    <xf numFmtId="0" fontId="35" fillId="7" borderId="17" applyNumberFormat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37" fillId="8" borderId="18" applyNumberFormat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9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77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 wrapText="1"/>
    </xf>
    <xf numFmtId="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Fill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9" fillId="0" borderId="5" xfId="0" applyFont="1" applyFill="1" applyBorder="1" applyAlignment="1">
      <alignment horizontal="center" vertical="center" wrapText="1"/>
    </xf>
    <xf numFmtId="9" fontId="4" fillId="0" borderId="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9" fontId="2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23" fillId="0" borderId="2" xfId="0" applyFont="1" applyFill="1" applyBorder="1" applyAlignment="1">
      <alignment horizontal="center" vertical="center" wrapText="1"/>
    </xf>
    <xf numFmtId="9" fontId="4" fillId="0" borderId="6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23" fillId="0" borderId="5" xfId="0" applyFont="1" applyFill="1" applyBorder="1" applyAlignment="1">
      <alignment horizontal="center" vertical="center"/>
    </xf>
    <xf numFmtId="49" fontId="14" fillId="0" borderId="4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/>
    </xf>
    <xf numFmtId="49" fontId="20" fillId="0" borderId="6" xfId="0" applyNumberFormat="1" applyFont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 wrapText="1"/>
    </xf>
    <xf numFmtId="0" fontId="23" fillId="0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3" fillId="0" borderId="5" xfId="0" applyFont="1" applyFill="1" applyBorder="1" applyAlignment="1">
      <alignment horizontal="center" vertical="center" wrapText="1"/>
    </xf>
    <xf numFmtId="0" fontId="25" fillId="0" borderId="1" xfId="0" applyFont="1" applyBorder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2\192.168.1.252\Foshan-servera\data\Public-files\Finance\Budget\Revised\FOSHAN97\CURRENT\TRANSLT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ownloads\&#21830;&#21697;&#26723;&#26696;&#34920;&#65288;26072897289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&#24635;&#36798;&#20154;&#36827;&#24230;&#3492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24211;&#2338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&amp;.OTCTOTAL"/>
      <sheetName val="Total"/>
      <sheetName val="&amp;OTC SALES"/>
      <sheetName val="sales"/>
      <sheetName val="100"/>
      <sheetName val="150"/>
      <sheetName val="150-LL"/>
      <sheetName val="150-LZ"/>
      <sheetName val="200"/>
      <sheetName val="320"/>
      <sheetName val="310"/>
      <sheetName val="400"/>
      <sheetName val="500"/>
      <sheetName val="510"/>
      <sheetName val="520"/>
      <sheetName val="mfg"/>
      <sheetName val="Shop"/>
      <sheetName val="610"/>
      <sheetName val="620A"/>
      <sheetName val="625"/>
      <sheetName val="630"/>
      <sheetName val="640"/>
      <sheetName val="650"/>
      <sheetName val="660"/>
      <sheetName val="710"/>
      <sheetName val="Adm"/>
      <sheetName val="720"/>
      <sheetName val="730"/>
      <sheetName val="740"/>
      <sheetName val="800"/>
      <sheetName val="620B"/>
      <sheetName val="基础资料"/>
      <sheetName val="Aver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商品sku导出表"/>
      <sheetName val="Sheet1"/>
    </sheetNames>
    <sheetDataSet>
      <sheetData sheetId="0" refreshError="1"/>
      <sheetData sheetId="1" refreshError="1">
        <row r="1">
          <cell r="A1" t="str">
            <v>款号</v>
          </cell>
          <cell r="B1" t="str">
            <v>设计款号</v>
          </cell>
          <cell r="C1" t="str">
            <v>品牌</v>
          </cell>
          <cell r="D1" t="str">
            <v>类目</v>
          </cell>
          <cell r="E1" t="str">
            <v>年份</v>
          </cell>
          <cell r="F1" t="str">
            <v>季节</v>
          </cell>
          <cell r="G1" t="str">
            <v>颜色</v>
          </cell>
          <cell r="H1" t="str">
            <v>汇美采购价</v>
          </cell>
          <cell r="I1" t="str">
            <v>一口价</v>
          </cell>
          <cell r="J1" t="str">
            <v>风格</v>
          </cell>
          <cell r="K1" t="str">
            <v>执行标准</v>
          </cell>
          <cell r="L1" t="str">
            <v>成分</v>
          </cell>
        </row>
        <row r="2">
          <cell r="A2" t="str">
            <v>F18637900</v>
          </cell>
          <cell r="B2" t="str">
            <v>DYS26Q023</v>
          </cell>
          <cell r="C2" t="str">
            <v>茵曼</v>
          </cell>
          <cell r="D2" t="str">
            <v>T恤</v>
          </cell>
          <cell r="E2">
            <v>2026</v>
          </cell>
          <cell r="F2" t="str">
            <v>秋季</v>
          </cell>
          <cell r="G2" t="str">
            <v>白色</v>
          </cell>
          <cell r="H2" t="str">
            <v/>
          </cell>
          <cell r="I2">
            <v>119</v>
          </cell>
          <cell r="J2" t="str">
            <v>田园-休闲</v>
          </cell>
          <cell r="K2" t="str">
            <v>Q/HMFZ 4-2022</v>
          </cell>
          <cell r="L2" t="str">
            <v>面料：100%棉</v>
          </cell>
        </row>
        <row r="3">
          <cell r="A3" t="str">
            <v>K18637813</v>
          </cell>
          <cell r="B3" t="str">
            <v>ZH26Q001</v>
          </cell>
          <cell r="C3" t="str">
            <v>茵曼</v>
          </cell>
          <cell r="D3" t="str">
            <v>衬衣</v>
          </cell>
          <cell r="E3">
            <v>2026</v>
          </cell>
          <cell r="F3" t="str">
            <v>秋季</v>
          </cell>
          <cell r="G3" t="str">
            <v>藕粉色</v>
          </cell>
          <cell r="H3" t="str">
            <v/>
          </cell>
          <cell r="I3">
            <v>239</v>
          </cell>
          <cell r="J3" t="str">
            <v>田园-复古</v>
          </cell>
          <cell r="K3" t="str">
            <v>Q/HMFZ 3-2024</v>
          </cell>
          <cell r="L3" t="str">
            <v>面料：100%棉</v>
          </cell>
        </row>
        <row r="4">
          <cell r="A4" t="str">
            <v>F18637809</v>
          </cell>
          <cell r="B4" t="str">
            <v>YS26Q4816</v>
          </cell>
          <cell r="C4" t="str">
            <v>茵曼</v>
          </cell>
          <cell r="D4" t="str">
            <v>(仿)毛衣</v>
          </cell>
          <cell r="E4">
            <v>2026</v>
          </cell>
          <cell r="F4" t="str">
            <v>秋季</v>
          </cell>
          <cell r="G4" t="str">
            <v>灰色</v>
          </cell>
          <cell r="H4" t="str">
            <v/>
          </cell>
          <cell r="I4">
            <v>269</v>
          </cell>
          <cell r="J4" t="str">
            <v>田园-复古</v>
          </cell>
          <cell r="K4" t="str">
            <v>Q/HMFZ 9-2024</v>
          </cell>
          <cell r="L4" t="str">
            <v>面料：41.2%腈纶 32.2%聚酯纤维 26.6%锦纶（黑色部位除外）</v>
          </cell>
        </row>
        <row r="5">
          <cell r="A5" t="str">
            <v>F18637808</v>
          </cell>
          <cell r="B5" t="str">
            <v>YZY26Q912</v>
          </cell>
          <cell r="C5" t="str">
            <v>茵曼</v>
          </cell>
          <cell r="D5" t="str">
            <v>衬衣</v>
          </cell>
          <cell r="E5">
            <v>2026</v>
          </cell>
          <cell r="F5" t="str">
            <v>秋季</v>
          </cell>
          <cell r="G5" t="str">
            <v>蓝条</v>
          </cell>
          <cell r="H5" t="str">
            <v/>
          </cell>
          <cell r="I5">
            <v>219</v>
          </cell>
          <cell r="J5" t="str">
            <v>田园-复古</v>
          </cell>
          <cell r="K5" t="str">
            <v>Q/HMFZ 3-2024</v>
          </cell>
          <cell r="L5" t="str">
            <v>面料:60.8%聚酯纤维 39.2%棉</v>
          </cell>
        </row>
        <row r="6">
          <cell r="A6" t="str">
            <v>F18637807</v>
          </cell>
          <cell r="B6" t="str">
            <v>YZY26Q910</v>
          </cell>
          <cell r="C6" t="str">
            <v>茵曼</v>
          </cell>
          <cell r="D6" t="str">
            <v>衬衣</v>
          </cell>
          <cell r="E6">
            <v>2026</v>
          </cell>
          <cell r="F6" t="str">
            <v>秋季</v>
          </cell>
          <cell r="G6" t="str">
            <v>白色</v>
          </cell>
          <cell r="H6" t="str">
            <v/>
          </cell>
          <cell r="I6">
            <v>219</v>
          </cell>
          <cell r="J6" t="str">
            <v>田园-复古</v>
          </cell>
          <cell r="K6" t="str">
            <v>Q/HMFZ 3-2024</v>
          </cell>
          <cell r="L6" t="str">
            <v>面料:100%棉</v>
          </cell>
        </row>
        <row r="7">
          <cell r="A7">
            <v>18637753</v>
          </cell>
          <cell r="B7" t="str">
            <v>WY26Q566</v>
          </cell>
          <cell r="C7" t="str">
            <v>茵曼</v>
          </cell>
          <cell r="D7" t="str">
            <v>牛仔裤</v>
          </cell>
          <cell r="E7">
            <v>2026</v>
          </cell>
          <cell r="F7" t="str">
            <v>秋季</v>
          </cell>
          <cell r="G7" t="str">
            <v>牛仔蓝、珍珠白</v>
          </cell>
          <cell r="H7" t="str">
            <v/>
          </cell>
          <cell r="I7">
            <v>299</v>
          </cell>
          <cell r="J7" t="str">
            <v>田园-户外</v>
          </cell>
          <cell r="K7" t="str">
            <v>FZ/T81006-2017
（水洗产品）</v>
          </cell>
          <cell r="L7" t="str">
            <v>珍珠白 面料:70.0%棉 30.0%莱赛尔 
牛仔蓝 面料：100%棉</v>
          </cell>
        </row>
        <row r="8">
          <cell r="A8" t="str">
            <v>F18637728</v>
          </cell>
          <cell r="B8" t="str">
            <v>YZY26Q094</v>
          </cell>
          <cell r="C8" t="str">
            <v>茵曼</v>
          </cell>
          <cell r="D8" t="str">
            <v>衬衣</v>
          </cell>
          <cell r="E8">
            <v>2026</v>
          </cell>
          <cell r="F8" t="str">
            <v>秋季</v>
          </cell>
          <cell r="G8" t="str">
            <v>浅粉色</v>
          </cell>
          <cell r="H8" t="str">
            <v/>
          </cell>
          <cell r="I8">
            <v>239</v>
          </cell>
          <cell r="J8" t="str">
            <v>田园-复古</v>
          </cell>
          <cell r="K8" t="str">
            <v>Q/HMFZ 3-2024</v>
          </cell>
          <cell r="L8" t="str">
            <v>面料：99.0%棉 1.0%再生纤维素纤维</v>
          </cell>
        </row>
        <row r="9">
          <cell r="A9">
            <v>18637710</v>
          </cell>
          <cell r="B9" t="str">
            <v>WY26Q899</v>
          </cell>
          <cell r="C9" t="str">
            <v>茵曼</v>
          </cell>
          <cell r="D9" t="str">
            <v>衬衣</v>
          </cell>
          <cell r="E9">
            <v>2026</v>
          </cell>
          <cell r="F9" t="str">
            <v>秋季</v>
          </cell>
          <cell r="G9" t="str">
            <v>珍珠白</v>
          </cell>
          <cell r="H9" t="str">
            <v/>
          </cell>
          <cell r="I9">
            <v>199</v>
          </cell>
          <cell r="J9" t="str">
            <v>田园-复古</v>
          </cell>
          <cell r="K9" t="str">
            <v>Q/HMFZ 3-2024</v>
          </cell>
          <cell r="L9" t="str">
            <v>面料：65.2%聚酯纤维 34.8%棉</v>
          </cell>
        </row>
        <row r="10">
          <cell r="A10">
            <v>18637658</v>
          </cell>
          <cell r="B10" t="str">
            <v>WY26Q787</v>
          </cell>
          <cell r="C10" t="str">
            <v>茵曼</v>
          </cell>
          <cell r="D10" t="str">
            <v>牛仔裤</v>
          </cell>
          <cell r="E10">
            <v>2026</v>
          </cell>
          <cell r="F10" t="str">
            <v>秋季</v>
          </cell>
          <cell r="G10" t="str">
            <v>牛仔蓝</v>
          </cell>
          <cell r="H10" t="str">
            <v/>
          </cell>
          <cell r="I10">
            <v>299</v>
          </cell>
          <cell r="J10" t="str">
            <v>田园-户外</v>
          </cell>
          <cell r="K10" t="str">
            <v>FZ/T 81006-2017
（水洗产品）</v>
          </cell>
          <cell r="L10" t="str">
            <v>面料:100%棉</v>
          </cell>
        </row>
        <row r="11">
          <cell r="A11">
            <v>18637648</v>
          </cell>
          <cell r="B11" t="str">
            <v>LXY26Q593</v>
          </cell>
          <cell r="C11" t="str">
            <v>茵曼</v>
          </cell>
          <cell r="D11" t="str">
            <v>衬衣</v>
          </cell>
          <cell r="E11">
            <v>2026</v>
          </cell>
          <cell r="F11" t="str">
            <v>秋季</v>
          </cell>
          <cell r="G11" t="str">
            <v>珍珠白、藕粉色</v>
          </cell>
          <cell r="H11" t="str">
            <v/>
          </cell>
          <cell r="I11">
            <v>239</v>
          </cell>
          <cell r="J11" t="str">
            <v>田园-复古</v>
          </cell>
          <cell r="K11" t="str">
            <v>Q/HMFZ 3-2024</v>
          </cell>
          <cell r="L11" t="str">
            <v>面料:100%棉</v>
          </cell>
        </row>
        <row r="12">
          <cell r="A12">
            <v>18637647</v>
          </cell>
          <cell r="B12" t="str">
            <v>LXY26Q056</v>
          </cell>
          <cell r="C12" t="str">
            <v>茵曼</v>
          </cell>
          <cell r="D12" t="str">
            <v>衬衣</v>
          </cell>
          <cell r="E12">
            <v>2026</v>
          </cell>
          <cell r="F12" t="str">
            <v>秋季</v>
          </cell>
          <cell r="G12" t="str">
            <v>皮粉色、米白色</v>
          </cell>
          <cell r="H12" t="str">
            <v/>
          </cell>
          <cell r="I12">
            <v>239</v>
          </cell>
          <cell r="J12" t="str">
            <v>田园-复古</v>
          </cell>
          <cell r="K12" t="str">
            <v>Q/HMFZ 3-2024</v>
          </cell>
          <cell r="L12" t="str">
            <v>面料：66.5%棉 29.0%锦纶 4.5%氨纶</v>
          </cell>
        </row>
        <row r="13">
          <cell r="A13" t="str">
            <v>F18637646</v>
          </cell>
          <cell r="B13" t="str">
            <v>DYS26Q016</v>
          </cell>
          <cell r="C13" t="str">
            <v>茵曼</v>
          </cell>
          <cell r="D13" t="str">
            <v>T恤</v>
          </cell>
          <cell r="E13">
            <v>2026</v>
          </cell>
          <cell r="F13" t="str">
            <v>秋季</v>
          </cell>
          <cell r="G13" t="str">
            <v>白色-人物、白色-小动物、白色-花瓶</v>
          </cell>
          <cell r="H13" t="str">
            <v/>
          </cell>
          <cell r="I13">
            <v>139</v>
          </cell>
          <cell r="J13" t="str">
            <v>休闲-趣味</v>
          </cell>
          <cell r="K13" t="str">
            <v>Q/HMFZ 4-2022</v>
          </cell>
          <cell r="L13" t="str">
            <v>面料：100%棉</v>
          </cell>
        </row>
        <row r="14">
          <cell r="A14">
            <v>18637639</v>
          </cell>
          <cell r="B14" t="str">
            <v>WY26Q773</v>
          </cell>
          <cell r="C14" t="str">
            <v>茵曼</v>
          </cell>
          <cell r="D14" t="str">
            <v>衬衣</v>
          </cell>
          <cell r="E14">
            <v>2026</v>
          </cell>
          <cell r="F14" t="str">
            <v>秋季</v>
          </cell>
          <cell r="G14" t="str">
            <v>浅紫色、皮粉色、珍珠白、水蓝色</v>
          </cell>
          <cell r="H14" t="str">
            <v/>
          </cell>
          <cell r="I14">
            <v>199</v>
          </cell>
          <cell r="J14" t="str">
            <v>田园-复古</v>
          </cell>
          <cell r="K14" t="str">
            <v>Q/HMFZ 3-2024</v>
          </cell>
          <cell r="L14" t="str">
            <v>面料:63.8%聚酯纤维 36.2%棉</v>
          </cell>
        </row>
        <row r="15">
          <cell r="A15">
            <v>18637637</v>
          </cell>
          <cell r="B15" t="str">
            <v>WXG26Q774</v>
          </cell>
          <cell r="C15" t="str">
            <v>茵曼</v>
          </cell>
          <cell r="D15" t="str">
            <v>(仿)毛衣</v>
          </cell>
          <cell r="E15">
            <v>2026</v>
          </cell>
          <cell r="F15" t="str">
            <v>秋季</v>
          </cell>
          <cell r="G15" t="str">
            <v>藏青色、藕粉色、浅灰色</v>
          </cell>
          <cell r="H15" t="str">
            <v/>
          </cell>
          <cell r="I15">
            <v>269</v>
          </cell>
          <cell r="J15" t="str">
            <v>田园-复古</v>
          </cell>
          <cell r="K15" t="str">
            <v>Q/HMFZ 9-2024</v>
          </cell>
          <cell r="L15" t="str">
            <v>面料：41.8%锦纶 31.8%聚酯纤维 19.9%腈纶 6.5%绵羊毛</v>
          </cell>
        </row>
        <row r="16">
          <cell r="A16">
            <v>18637636</v>
          </cell>
          <cell r="B16" t="str">
            <v>WY26Q720</v>
          </cell>
          <cell r="C16" t="str">
            <v>茵曼</v>
          </cell>
          <cell r="D16" t="str">
            <v>衬衣</v>
          </cell>
          <cell r="E16">
            <v>2026</v>
          </cell>
          <cell r="F16" t="str">
            <v>秋季</v>
          </cell>
          <cell r="G16" t="str">
            <v>浅紫色、皮粉色、珍珠白、水蓝色</v>
          </cell>
          <cell r="H16" t="str">
            <v/>
          </cell>
          <cell r="I16">
            <v>199</v>
          </cell>
          <cell r="J16" t="str">
            <v>田园-复古</v>
          </cell>
          <cell r="K16" t="str">
            <v>Q/HMFZ 3-2024</v>
          </cell>
          <cell r="L16" t="str">
            <v>面料:63.8%聚酯纤维 36.2%棉</v>
          </cell>
        </row>
        <row r="17">
          <cell r="A17">
            <v>18637635</v>
          </cell>
          <cell r="B17" t="str">
            <v>LXY26Q855</v>
          </cell>
          <cell r="C17" t="str">
            <v>茵曼</v>
          </cell>
          <cell r="D17" t="str">
            <v>半身裙</v>
          </cell>
          <cell r="E17">
            <v>2026</v>
          </cell>
          <cell r="F17" t="str">
            <v>秋季</v>
          </cell>
          <cell r="G17" t="str">
            <v>贵族灰</v>
          </cell>
          <cell r="H17" t="str">
            <v/>
          </cell>
          <cell r="I17">
            <v>269</v>
          </cell>
          <cell r="J17" t="str">
            <v>田园-法式</v>
          </cell>
          <cell r="K17" t="str">
            <v>Q/HMFZ 3-2024</v>
          </cell>
          <cell r="L17" t="str">
            <v>面料：82.0%聚酯纤维 18.0%粘纤 里料：100%聚酯纤维</v>
          </cell>
        </row>
        <row r="18">
          <cell r="A18">
            <v>18637605</v>
          </cell>
          <cell r="B18" t="str">
            <v>LJR26Q696</v>
          </cell>
          <cell r="C18" t="str">
            <v>茵曼</v>
          </cell>
          <cell r="D18" t="str">
            <v>半身裙</v>
          </cell>
          <cell r="E18">
            <v>2026</v>
          </cell>
          <cell r="F18" t="str">
            <v>秋季</v>
          </cell>
          <cell r="G18" t="str">
            <v>藏青蓝、军绿色、咖啡色</v>
          </cell>
          <cell r="H18" t="str">
            <v/>
          </cell>
          <cell r="I18">
            <v>269</v>
          </cell>
          <cell r="J18" t="str">
            <v>田园-复古</v>
          </cell>
          <cell r="K18" t="str">
            <v>GB/T22700-2016</v>
          </cell>
          <cell r="L18" t="str">
            <v>面料:100%棉</v>
          </cell>
        </row>
        <row r="19">
          <cell r="A19" t="str">
            <v>F18637593</v>
          </cell>
          <cell r="B19" t="str">
            <v>YS26Q3037</v>
          </cell>
          <cell r="C19" t="str">
            <v>茵曼</v>
          </cell>
          <cell r="D19" t="str">
            <v>T恤</v>
          </cell>
          <cell r="E19">
            <v>2026</v>
          </cell>
          <cell r="F19" t="str">
            <v>秋季</v>
          </cell>
          <cell r="G19" t="str">
            <v>草绿色、深宝蓝、浅杏色</v>
          </cell>
          <cell r="H19" t="str">
            <v/>
          </cell>
          <cell r="I19">
            <v>159</v>
          </cell>
          <cell r="J19" t="str">
            <v>优雅-通勤</v>
          </cell>
          <cell r="K19" t="str">
            <v>Q/HMFZ 4-2022</v>
          </cell>
          <cell r="L19" t="str">
            <v>面料：85.3%聚酯纤维 14.7%粘纤</v>
          </cell>
        </row>
        <row r="20">
          <cell r="A20">
            <v>18637580</v>
          </cell>
          <cell r="B20" t="str">
            <v>WY26Q766</v>
          </cell>
          <cell r="C20" t="str">
            <v>茵曼</v>
          </cell>
          <cell r="D20" t="str">
            <v>裤子</v>
          </cell>
          <cell r="E20">
            <v>2026</v>
          </cell>
          <cell r="F20" t="str">
            <v>秋季</v>
          </cell>
          <cell r="G20" t="str">
            <v>米白色</v>
          </cell>
          <cell r="H20" t="str">
            <v/>
          </cell>
          <cell r="I20">
            <v>269</v>
          </cell>
          <cell r="J20" t="str">
            <v>田园-休闲</v>
          </cell>
          <cell r="K20" t="str">
            <v>Q/HMFZ 4-2022</v>
          </cell>
          <cell r="L20" t="str">
            <v>面料：面层：66.6%棉 33.4%聚酯纤维（含胶）底层：96.0%聚酯纤维 4.0%氨纶（含胶）</v>
          </cell>
        </row>
        <row r="21">
          <cell r="A21">
            <v>18637579</v>
          </cell>
          <cell r="B21" t="str">
            <v>LXY26Q312</v>
          </cell>
          <cell r="C21" t="str">
            <v>茵曼</v>
          </cell>
          <cell r="D21" t="str">
            <v>衬衣</v>
          </cell>
          <cell r="E21">
            <v>2026</v>
          </cell>
          <cell r="F21" t="str">
            <v>秋季</v>
          </cell>
          <cell r="G21" t="str">
            <v>米白色</v>
          </cell>
          <cell r="H21" t="str">
            <v/>
          </cell>
          <cell r="I21">
            <v>219</v>
          </cell>
          <cell r="J21" t="str">
            <v>田园-复古</v>
          </cell>
          <cell r="K21" t="str">
            <v>Q/HMFZ 3-2024</v>
          </cell>
          <cell r="L21" t="str">
            <v>面料:100%棉</v>
          </cell>
        </row>
        <row r="22">
          <cell r="A22">
            <v>18637578</v>
          </cell>
          <cell r="B22" t="str">
            <v>LXY26Q027</v>
          </cell>
          <cell r="C22" t="str">
            <v>茵曼</v>
          </cell>
          <cell r="D22" t="str">
            <v>衬衣</v>
          </cell>
          <cell r="E22">
            <v>2026</v>
          </cell>
          <cell r="F22" t="str">
            <v>秋季</v>
          </cell>
          <cell r="G22" t="str">
            <v>月牙白</v>
          </cell>
          <cell r="H22" t="str">
            <v/>
          </cell>
          <cell r="I22">
            <v>219</v>
          </cell>
          <cell r="J22" t="str">
            <v>田园-复古</v>
          </cell>
          <cell r="K22" t="str">
            <v>Q/HMFZ 3-2024</v>
          </cell>
          <cell r="L22" t="str">
            <v>面料：100%棉</v>
          </cell>
        </row>
        <row r="23">
          <cell r="A23">
            <v>18637577</v>
          </cell>
          <cell r="B23" t="str">
            <v>LJR26Q993</v>
          </cell>
          <cell r="C23" t="str">
            <v>茵曼</v>
          </cell>
          <cell r="D23" t="str">
            <v>半身裙</v>
          </cell>
          <cell r="E23">
            <v>2026</v>
          </cell>
          <cell r="F23" t="str">
            <v>秋季</v>
          </cell>
          <cell r="G23" t="str">
            <v>宝蓝格</v>
          </cell>
          <cell r="H23" t="str">
            <v/>
          </cell>
          <cell r="I23">
            <v>339</v>
          </cell>
          <cell r="J23" t="str">
            <v>田园-休闲</v>
          </cell>
          <cell r="K23" t="str">
            <v>Q/HMFZ 3-2024</v>
          </cell>
          <cell r="L23" t="str">
            <v>面料：68.6%聚酯纤维 14.1%粘纤 12.4%腈纶 4.9%绵羊毛 里料：100%聚酯纤维</v>
          </cell>
        </row>
        <row r="24">
          <cell r="A24">
            <v>18637542</v>
          </cell>
          <cell r="B24" t="str">
            <v>WY26Q159</v>
          </cell>
          <cell r="C24" t="str">
            <v>茵曼</v>
          </cell>
          <cell r="D24" t="str">
            <v>裤子</v>
          </cell>
          <cell r="E24">
            <v>2026</v>
          </cell>
          <cell r="F24" t="str">
            <v>秋季</v>
          </cell>
          <cell r="G24" t="str">
            <v>宝蓝格</v>
          </cell>
          <cell r="H24" t="str">
            <v/>
          </cell>
          <cell r="I24">
            <v>359</v>
          </cell>
          <cell r="J24" t="str">
            <v>田园-休闲</v>
          </cell>
          <cell r="K24" t="str">
            <v>Q/HMFZ 3-2024</v>
          </cell>
          <cell r="L24" t="str">
            <v>面料：68.6%聚酯纤维 14.1%粘纤 12.4%腈纶 4.9%绵羊毛 里料：100%聚酯纤维</v>
          </cell>
        </row>
        <row r="25">
          <cell r="A25">
            <v>18637539</v>
          </cell>
          <cell r="B25" t="str">
            <v>WY26Q278</v>
          </cell>
          <cell r="C25" t="str">
            <v>茵曼</v>
          </cell>
          <cell r="D25" t="str">
            <v>(仿)毛衣</v>
          </cell>
          <cell r="E25">
            <v>2026</v>
          </cell>
          <cell r="F25" t="str">
            <v>秋季</v>
          </cell>
          <cell r="G25" t="str">
            <v>藏青</v>
          </cell>
          <cell r="H25" t="str">
            <v/>
          </cell>
          <cell r="I25">
            <v>239</v>
          </cell>
          <cell r="J25" t="str">
            <v>田园-法式</v>
          </cell>
          <cell r="K25" t="str">
            <v>Q/HMFZ 9-2024</v>
          </cell>
          <cell r="L25" t="str">
            <v>面料：32.2%腈纶 29.9%聚酯纤维 20.1%再生纤维素纤维 17.8%锦纶</v>
          </cell>
        </row>
        <row r="26">
          <cell r="A26">
            <v>18637480</v>
          </cell>
          <cell r="B26" t="str">
            <v>WY26Q167</v>
          </cell>
          <cell r="C26" t="str">
            <v>茵曼</v>
          </cell>
          <cell r="D26" t="str">
            <v>衬衣</v>
          </cell>
          <cell r="E26">
            <v>2026</v>
          </cell>
          <cell r="F26" t="str">
            <v>秋季</v>
          </cell>
          <cell r="G26" t="str">
            <v>浅蓝色、珍珠白</v>
          </cell>
          <cell r="H26" t="str">
            <v/>
          </cell>
          <cell r="I26">
            <v>269</v>
          </cell>
          <cell r="J26" t="str">
            <v>田园-复古</v>
          </cell>
          <cell r="K26" t="str">
            <v>Q/HMFZ 3-2024</v>
          </cell>
          <cell r="L26" t="str">
            <v>面料：100%棉（花边除外）</v>
          </cell>
        </row>
        <row r="27">
          <cell r="A27">
            <v>1863001</v>
          </cell>
          <cell r="B27" t="str">
            <v>LJR26Q959</v>
          </cell>
          <cell r="C27" t="str">
            <v>茵曼</v>
          </cell>
          <cell r="D27" t="str">
            <v>(仿)毛衣</v>
          </cell>
          <cell r="E27">
            <v>2026</v>
          </cell>
          <cell r="F27" t="str">
            <v>秋季</v>
          </cell>
          <cell r="G27" t="str">
            <v>浅紫色、宝蓝色、黄色、克莱因蓝</v>
          </cell>
          <cell r="H27" t="str">
            <v/>
          </cell>
          <cell r="I27">
            <v>259</v>
          </cell>
          <cell r="J27" t="str">
            <v>田园-法式</v>
          </cell>
          <cell r="K27" t="str">
            <v>Q/HMFZ 9-2024</v>
          </cell>
          <cell r="L27" t="str">
            <v>黄色/宝蓝色/浅紫色 面料：31.6%聚酯纤维 31.4%腈纶 20.4%再生纤维素纤维 16.6%锦纶 (装饰部分除外)
克莱因蓝 面料：30.9%聚酯纤维 24.7%粘纤 24.4%腈纶 20.0%锦纶 (装饰部分除外)</v>
          </cell>
        </row>
        <row r="28">
          <cell r="A28">
            <v>18637470</v>
          </cell>
          <cell r="B28" t="str">
            <v>WXG26Q340</v>
          </cell>
          <cell r="C28" t="str">
            <v>茵曼</v>
          </cell>
          <cell r="D28" t="str">
            <v>外套 上衣</v>
          </cell>
          <cell r="E28">
            <v>2026</v>
          </cell>
          <cell r="F28" t="str">
            <v>秋季</v>
          </cell>
          <cell r="G28" t="str">
            <v>浅牛仔</v>
          </cell>
          <cell r="H28" t="str">
            <v/>
          </cell>
          <cell r="I28">
            <v>359</v>
          </cell>
          <cell r="J28" t="str">
            <v>田园-法式</v>
          </cell>
          <cell r="K28" t="str">
            <v>FZ/T 81006-2017
(水洗产品)</v>
          </cell>
          <cell r="L28" t="str">
            <v>面料:100%棉</v>
          </cell>
        </row>
        <row r="29">
          <cell r="A29" t="str">
            <v>K18637469</v>
          </cell>
          <cell r="B29" t="str">
            <v>WXG26Q992</v>
          </cell>
          <cell r="C29" t="str">
            <v>茵曼</v>
          </cell>
          <cell r="D29" t="str">
            <v>外套 上衣</v>
          </cell>
          <cell r="E29">
            <v>2026</v>
          </cell>
          <cell r="F29" t="str">
            <v>秋季</v>
          </cell>
          <cell r="G29" t="str">
            <v>复古红、宝蓝色、梨花杏</v>
          </cell>
          <cell r="H29" t="str">
            <v/>
          </cell>
          <cell r="I29">
            <v>369</v>
          </cell>
          <cell r="J29" t="str">
            <v>田园-休闲</v>
          </cell>
          <cell r="K29" t="str">
            <v>Q/HMFZ 3-2024</v>
          </cell>
          <cell r="L29" t="str">
            <v>面料:100%棉</v>
          </cell>
        </row>
        <row r="30">
          <cell r="A30">
            <v>18637468</v>
          </cell>
          <cell r="B30" t="str">
            <v>WY26Q803</v>
          </cell>
          <cell r="C30" t="str">
            <v>茵曼</v>
          </cell>
          <cell r="D30" t="str">
            <v>外套 上衣</v>
          </cell>
          <cell r="E30">
            <v>2026</v>
          </cell>
          <cell r="F30" t="str">
            <v>秋季</v>
          </cell>
          <cell r="G30" t="str">
            <v>午夜黑、花白色</v>
          </cell>
          <cell r="H30" t="str">
            <v/>
          </cell>
          <cell r="I30">
            <v>399</v>
          </cell>
          <cell r="J30" t="str">
            <v>田园-复古</v>
          </cell>
          <cell r="K30" t="str">
            <v>Q/HMFZ 3-2024</v>
          </cell>
          <cell r="L30" t="str">
            <v>面料：100%聚酯纤维（贴衬布除外） 里料：100%聚酯纤维</v>
          </cell>
        </row>
        <row r="31">
          <cell r="A31">
            <v>18637466</v>
          </cell>
          <cell r="B31" t="str">
            <v>WY26Q039</v>
          </cell>
          <cell r="C31" t="str">
            <v>茵曼</v>
          </cell>
          <cell r="D31" t="str">
            <v>衬衣</v>
          </cell>
          <cell r="E31">
            <v>2026</v>
          </cell>
          <cell r="F31" t="str">
            <v>秋季</v>
          </cell>
          <cell r="G31" t="str">
            <v>紫色、珍珠白</v>
          </cell>
          <cell r="H31" t="str">
            <v/>
          </cell>
          <cell r="I31">
            <v>239</v>
          </cell>
          <cell r="J31" t="str">
            <v>田园-复古</v>
          </cell>
          <cell r="K31" t="str">
            <v>Q/HMFZ 3-2024</v>
          </cell>
          <cell r="L31" t="str">
            <v>面料：100%棉 （花边除外）</v>
          </cell>
        </row>
        <row r="32">
          <cell r="A32">
            <v>18637440</v>
          </cell>
          <cell r="B32" t="str">
            <v>CCL26Q868</v>
          </cell>
          <cell r="C32" t="str">
            <v>茵曼</v>
          </cell>
          <cell r="D32" t="str">
            <v>(仿)毛衣</v>
          </cell>
          <cell r="E32">
            <v>2026</v>
          </cell>
          <cell r="F32" t="str">
            <v>秋季</v>
          </cell>
          <cell r="G32" t="str">
            <v>灰色、浅杏色</v>
          </cell>
          <cell r="H32" t="str">
            <v/>
          </cell>
          <cell r="I32">
            <v>199</v>
          </cell>
          <cell r="J32" t="str">
            <v>文艺知性通勤</v>
          </cell>
          <cell r="K32" t="str">
            <v>Q/HMFZ 9-2024</v>
          </cell>
          <cell r="L32" t="str">
            <v>面料：32.2%腈纶 29.9%聚酯纤维 20.1%再生纤维素纤维 17.8%锦纶</v>
          </cell>
        </row>
        <row r="33">
          <cell r="A33">
            <v>18637426</v>
          </cell>
          <cell r="B33" t="str">
            <v>WXG26Q507</v>
          </cell>
          <cell r="C33" t="str">
            <v>茵曼</v>
          </cell>
          <cell r="D33" t="str">
            <v>(仿)毛衣</v>
          </cell>
          <cell r="E33">
            <v>2026</v>
          </cell>
          <cell r="F33" t="str">
            <v>秋季</v>
          </cell>
          <cell r="G33" t="str">
            <v>藏青色、咖色、深灰色</v>
          </cell>
          <cell r="H33" t="str">
            <v/>
          </cell>
          <cell r="I33">
            <v>239</v>
          </cell>
          <cell r="J33" t="str">
            <v>田园-复古</v>
          </cell>
          <cell r="K33" t="str">
            <v>Q/HMFZ 9-2024</v>
          </cell>
          <cell r="L33" t="str">
            <v>面料：44.4%腈纶 30.5%聚酯纤维 25.1%锦纶</v>
          </cell>
        </row>
        <row r="34">
          <cell r="A34" t="str">
            <v>F18628683</v>
          </cell>
          <cell r="B34" t="str">
            <v>ZQYZY26Q903</v>
          </cell>
          <cell r="C34" t="str">
            <v>茵曼</v>
          </cell>
          <cell r="D34" t="str">
            <v>衬衣</v>
          </cell>
          <cell r="E34">
            <v>2026</v>
          </cell>
          <cell r="F34" t="str">
            <v>秋季</v>
          </cell>
          <cell r="G34" t="str">
            <v>粉蓝色</v>
          </cell>
          <cell r="H34" t="str">
            <v/>
          </cell>
          <cell r="I34">
            <v>269</v>
          </cell>
          <cell r="J34" t="str">
            <v>简约通勤</v>
          </cell>
          <cell r="K34" t="str">
            <v>Q/HMFZ 3-2024</v>
          </cell>
          <cell r="L34" t="str">
            <v>面料:100%棉</v>
          </cell>
        </row>
        <row r="35">
          <cell r="A35" t="str">
            <v>K18637369</v>
          </cell>
          <cell r="B35" t="str">
            <v>CYP26Q468</v>
          </cell>
          <cell r="C35" t="str">
            <v>茵曼</v>
          </cell>
          <cell r="D35" t="str">
            <v>衬衣</v>
          </cell>
          <cell r="E35">
            <v>2026</v>
          </cell>
          <cell r="F35" t="str">
            <v>秋季</v>
          </cell>
          <cell r="G35" t="str">
            <v>珍珠白、姜黄色</v>
          </cell>
          <cell r="H35" t="str">
            <v/>
          </cell>
          <cell r="I35">
            <v>269</v>
          </cell>
          <cell r="J35" t="str">
            <v>田园-复古</v>
          </cell>
          <cell r="K35" t="str">
            <v>Q/HMFZ 3-2024</v>
          </cell>
          <cell r="L35" t="str">
            <v>面料：100%棉 （花边除外）</v>
          </cell>
        </row>
        <row r="36">
          <cell r="A36" t="str">
            <v>18518192H1</v>
          </cell>
          <cell r="B36" t="str">
            <v>LXY22Q212</v>
          </cell>
          <cell r="C36" t="str">
            <v>茵曼</v>
          </cell>
          <cell r="D36" t="str">
            <v>半身裙</v>
          </cell>
          <cell r="E36">
            <v>2026</v>
          </cell>
          <cell r="F36" t="str">
            <v>秋季</v>
          </cell>
          <cell r="G36" t="str">
            <v>茶绿色、卡其色</v>
          </cell>
          <cell r="H36" t="str">
            <v/>
          </cell>
          <cell r="I36">
            <v>199</v>
          </cell>
          <cell r="J36" t="str">
            <v>田园-复古</v>
          </cell>
          <cell r="K36" t="str">
            <v>Q/HMFZ 3-2024</v>
          </cell>
          <cell r="L36" t="str">
            <v>面料：100%棉</v>
          </cell>
        </row>
        <row r="37">
          <cell r="A37">
            <v>18637359</v>
          </cell>
          <cell r="B37" t="str">
            <v>LJR26Q654</v>
          </cell>
          <cell r="C37" t="str">
            <v>茵曼</v>
          </cell>
          <cell r="D37" t="str">
            <v>外套 上衣</v>
          </cell>
          <cell r="E37">
            <v>2026</v>
          </cell>
          <cell r="F37" t="str">
            <v>秋季</v>
          </cell>
          <cell r="G37" t="str">
            <v>灰白色</v>
          </cell>
          <cell r="H37" t="str">
            <v/>
          </cell>
          <cell r="I37">
            <v>399</v>
          </cell>
          <cell r="J37" t="str">
            <v>田园-复古</v>
          </cell>
          <cell r="K37" t="str">
            <v>Q/HMFZ 4-2022</v>
          </cell>
          <cell r="L37" t="str">
            <v>毛绒面：96.0%聚酯纤维 4.0%氨纶 平纹面：100%聚酯纤维</v>
          </cell>
        </row>
        <row r="38">
          <cell r="A38">
            <v>18637358</v>
          </cell>
          <cell r="B38" t="str">
            <v>LJR26Q571</v>
          </cell>
          <cell r="C38" t="str">
            <v>茵曼</v>
          </cell>
          <cell r="D38" t="str">
            <v>衬衣</v>
          </cell>
          <cell r="E38">
            <v>2026</v>
          </cell>
          <cell r="F38" t="str">
            <v>秋季</v>
          </cell>
          <cell r="G38" t="str">
            <v>珍珠白</v>
          </cell>
          <cell r="H38" t="str">
            <v/>
          </cell>
          <cell r="I38">
            <v>259</v>
          </cell>
          <cell r="J38" t="str">
            <v>田园-户外</v>
          </cell>
          <cell r="K38" t="str">
            <v>Q/HMFZ 3-2024</v>
          </cell>
          <cell r="L38" t="str">
            <v>面料:100%棉（绣花除外）</v>
          </cell>
        </row>
        <row r="39">
          <cell r="A39" t="str">
            <v>W18637347</v>
          </cell>
          <cell r="B39" t="str">
            <v>ML26Q147</v>
          </cell>
          <cell r="C39" t="str">
            <v>茵曼</v>
          </cell>
          <cell r="D39" t="str">
            <v>(仿)毛衣</v>
          </cell>
          <cell r="E39">
            <v>2026</v>
          </cell>
          <cell r="F39" t="str">
            <v>秋季</v>
          </cell>
          <cell r="G39" t="str">
            <v>米杏、午夜黑、花灰色、燕麦色、咖啡色</v>
          </cell>
          <cell r="H39" t="str">
            <v/>
          </cell>
          <cell r="I39">
            <v>219</v>
          </cell>
          <cell r="J39" t="str">
            <v>田园-复古</v>
          </cell>
          <cell r="K39" t="str">
            <v>Q/HMFZ 9-2024</v>
          </cell>
          <cell r="L39" t="str">
            <v>面料：43.6%聚酯纤维 28.4%腈纶 22.2%锦纶 5.8%绵羊毛</v>
          </cell>
        </row>
        <row r="40">
          <cell r="A40">
            <v>18637319</v>
          </cell>
          <cell r="B40" t="str">
            <v>LJL26Q170</v>
          </cell>
          <cell r="C40" t="str">
            <v>茵曼</v>
          </cell>
          <cell r="D40" t="str">
            <v>外套 上衣</v>
          </cell>
          <cell r="E40">
            <v>2026</v>
          </cell>
          <cell r="F40" t="str">
            <v>秋季</v>
          </cell>
          <cell r="G40" t="str">
            <v>浅粉色</v>
          </cell>
          <cell r="H40" t="str">
            <v/>
          </cell>
          <cell r="I40">
            <v>399</v>
          </cell>
          <cell r="J40" t="str">
            <v>田园-法式</v>
          </cell>
          <cell r="K40" t="str">
            <v>Q/HMFZ 4-2022</v>
          </cell>
          <cell r="L40" t="str">
            <v>面料：96.0%聚酯纤维 4.0%氨纶</v>
          </cell>
        </row>
        <row r="41">
          <cell r="A41">
            <v>18637311</v>
          </cell>
          <cell r="B41" t="str">
            <v>HCY26Q906</v>
          </cell>
          <cell r="C41" t="str">
            <v>茵曼</v>
          </cell>
          <cell r="D41" t="str">
            <v>牛仔裤</v>
          </cell>
          <cell r="E41">
            <v>2026</v>
          </cell>
          <cell r="F41" t="str">
            <v>秋季</v>
          </cell>
          <cell r="G41" t="str">
            <v>牛仔蓝</v>
          </cell>
          <cell r="H41" t="str">
            <v/>
          </cell>
          <cell r="I41">
            <v>329</v>
          </cell>
          <cell r="J41" t="str">
            <v>田园-复古</v>
          </cell>
          <cell r="K41" t="str">
            <v>FZ/T81006-2017
（水洗产品）</v>
          </cell>
          <cell r="L41" t="str">
            <v>面料:100%棉</v>
          </cell>
        </row>
        <row r="42">
          <cell r="A42" t="str">
            <v>18412952H2</v>
          </cell>
          <cell r="B42" t="str">
            <v>HCY24C793</v>
          </cell>
          <cell r="C42" t="str">
            <v>茵曼</v>
          </cell>
          <cell r="D42" t="str">
            <v>半身裙</v>
          </cell>
          <cell r="E42">
            <v>2026</v>
          </cell>
          <cell r="F42" t="str">
            <v>秋季</v>
          </cell>
          <cell r="G42" t="str">
            <v>浅牛仔</v>
          </cell>
          <cell r="H42" t="str">
            <v/>
          </cell>
          <cell r="I42">
            <v>239</v>
          </cell>
          <cell r="J42" t="str">
            <v>田园-户外</v>
          </cell>
          <cell r="K42" t="str">
            <v>FZ/T81006-2017
（水洗产品）</v>
          </cell>
          <cell r="L42" t="str">
            <v>面料:100%棉</v>
          </cell>
        </row>
        <row r="43">
          <cell r="A43">
            <v>18637298</v>
          </cell>
          <cell r="B43" t="str">
            <v>LJR26Q582</v>
          </cell>
          <cell r="C43" t="str">
            <v>茵曼</v>
          </cell>
          <cell r="D43" t="str">
            <v>(仿)毛衣</v>
          </cell>
          <cell r="E43">
            <v>2026</v>
          </cell>
          <cell r="F43" t="str">
            <v>秋季</v>
          </cell>
          <cell r="G43" t="str">
            <v>宝蓝色</v>
          </cell>
          <cell r="H43" t="str">
            <v/>
          </cell>
          <cell r="I43">
            <v>279</v>
          </cell>
          <cell r="J43" t="str">
            <v>田园-复古</v>
          </cell>
          <cell r="K43" t="str">
            <v>Q/HMFZ 9-2024</v>
          </cell>
          <cell r="L43" t="str">
            <v>面料：43.2%粘纤 33.1%锦纶 23.7%聚酯纤维</v>
          </cell>
        </row>
        <row r="44">
          <cell r="A44">
            <v>18637280</v>
          </cell>
          <cell r="B44" t="str">
            <v>WY26Q855</v>
          </cell>
          <cell r="C44" t="str">
            <v>茵曼</v>
          </cell>
          <cell r="D44" t="str">
            <v>外套 上衣</v>
          </cell>
          <cell r="E44">
            <v>2026</v>
          </cell>
          <cell r="F44" t="str">
            <v>秋季</v>
          </cell>
          <cell r="G44" t="str">
            <v>粉红色</v>
          </cell>
          <cell r="H44" t="str">
            <v/>
          </cell>
          <cell r="I44">
            <v>409</v>
          </cell>
          <cell r="J44" t="str">
            <v>文艺知性通勤</v>
          </cell>
          <cell r="K44" t="str">
            <v>Q/HMFZ 3-2024</v>
          </cell>
          <cell r="L44" t="str">
            <v>面料：100%棉</v>
          </cell>
        </row>
        <row r="45">
          <cell r="A45">
            <v>18637272</v>
          </cell>
          <cell r="B45" t="str">
            <v>HCY26Q671</v>
          </cell>
          <cell r="C45" t="str">
            <v>茵曼</v>
          </cell>
          <cell r="D45" t="str">
            <v>半身裙</v>
          </cell>
          <cell r="E45">
            <v>2026</v>
          </cell>
          <cell r="F45" t="str">
            <v>秋季</v>
          </cell>
          <cell r="G45" t="str">
            <v>牛仔蓝</v>
          </cell>
          <cell r="H45" t="str">
            <v/>
          </cell>
          <cell r="I45">
            <v>299</v>
          </cell>
          <cell r="J45" t="str">
            <v>田园-休闲</v>
          </cell>
          <cell r="K45" t="str">
            <v>FZ/T81006-2017
（水洗产品）</v>
          </cell>
          <cell r="L45" t="str">
            <v>面料:100%棉</v>
          </cell>
        </row>
        <row r="46">
          <cell r="A46">
            <v>18637269</v>
          </cell>
          <cell r="B46" t="str">
            <v>LJL26Q893</v>
          </cell>
          <cell r="C46" t="str">
            <v>茵曼</v>
          </cell>
          <cell r="D46" t="str">
            <v>衬衣</v>
          </cell>
          <cell r="E46">
            <v>2026</v>
          </cell>
          <cell r="F46" t="str">
            <v>秋季</v>
          </cell>
          <cell r="G46" t="str">
            <v>米杏色、浅米杏</v>
          </cell>
          <cell r="H46" t="str">
            <v/>
          </cell>
          <cell r="I46">
            <v>279</v>
          </cell>
          <cell r="J46" t="str">
            <v>田园-复古</v>
          </cell>
          <cell r="K46" t="str">
            <v>Q/HMFZ 3-2024</v>
          </cell>
          <cell r="L46" t="str">
            <v>米杏色 面料：100%棉
浅米杏 面料/前幅里：100%棉</v>
          </cell>
        </row>
        <row r="47">
          <cell r="A47" t="str">
            <v>K18518312H2</v>
          </cell>
          <cell r="B47" t="str">
            <v>SPB25C459</v>
          </cell>
          <cell r="C47" t="str">
            <v>茵曼</v>
          </cell>
          <cell r="D47" t="str">
            <v>衬衣</v>
          </cell>
          <cell r="E47">
            <v>2026</v>
          </cell>
          <cell r="F47" t="str">
            <v>秋季</v>
          </cell>
          <cell r="G47" t="str">
            <v>杏黄色、珍珠白、海雾蓝、月牙白</v>
          </cell>
          <cell r="H47" t="str">
            <v/>
          </cell>
          <cell r="I47">
            <v>199</v>
          </cell>
          <cell r="J47" t="str">
            <v>简约通勤</v>
          </cell>
          <cell r="K47" t="str">
            <v>Q/HMFZ 3-2024</v>
          </cell>
          <cell r="L47" t="str">
            <v>面料：100%棉</v>
          </cell>
        </row>
        <row r="48">
          <cell r="A48" t="str">
            <v>W18637258</v>
          </cell>
          <cell r="B48" t="str">
            <v>ML26Q075</v>
          </cell>
          <cell r="C48" t="str">
            <v>茵曼</v>
          </cell>
          <cell r="D48" t="str">
            <v>(仿)毛衣</v>
          </cell>
          <cell r="E48">
            <v>2026</v>
          </cell>
          <cell r="F48" t="str">
            <v>秋季</v>
          </cell>
          <cell r="G48" t="str">
            <v>橙色、贵族灰、湛蓝色、浅米黄</v>
          </cell>
          <cell r="H48" t="str">
            <v/>
          </cell>
          <cell r="I48">
            <v>229</v>
          </cell>
          <cell r="J48" t="str">
            <v>田园-复古</v>
          </cell>
          <cell r="K48" t="str">
            <v>Q/HMFZ 9-2024</v>
          </cell>
          <cell r="L48" t="str">
            <v>橙色 面料：100%棉
湛蓝色/贵族灰 面料：56.5%腈纶 43.5%棉 
浅米黄 面料：49.1%聚酯纤维 25.4%锦纶 21.7%腈纶 3.8%绵羊毛</v>
          </cell>
        </row>
        <row r="49">
          <cell r="A49">
            <v>18637242</v>
          </cell>
          <cell r="B49" t="str">
            <v>LY26Q391</v>
          </cell>
          <cell r="C49" t="str">
            <v>茵曼</v>
          </cell>
          <cell r="D49" t="str">
            <v>衬衣</v>
          </cell>
          <cell r="E49">
            <v>2026</v>
          </cell>
          <cell r="F49" t="str">
            <v>秋季</v>
          </cell>
          <cell r="G49" t="str">
            <v>米白色</v>
          </cell>
          <cell r="H49" t="str">
            <v/>
          </cell>
          <cell r="I49">
            <v>229</v>
          </cell>
          <cell r="J49" t="str">
            <v>田园-法式</v>
          </cell>
          <cell r="K49" t="str">
            <v>Q/HMFZ 3-2024</v>
          </cell>
          <cell r="L49" t="str">
            <v>面料：100%棉 （花边除外）</v>
          </cell>
        </row>
        <row r="50">
          <cell r="A50">
            <v>18637241</v>
          </cell>
          <cell r="B50" t="str">
            <v>HCY26Q805</v>
          </cell>
          <cell r="C50" t="str">
            <v>茵曼</v>
          </cell>
          <cell r="D50" t="str">
            <v>外套 上衣</v>
          </cell>
          <cell r="E50">
            <v>2026</v>
          </cell>
          <cell r="F50" t="str">
            <v>秋季</v>
          </cell>
          <cell r="G50" t="str">
            <v>深牛仔蓝</v>
          </cell>
          <cell r="H50" t="str">
            <v/>
          </cell>
          <cell r="I50">
            <v>399</v>
          </cell>
          <cell r="J50" t="str">
            <v>田园-复古</v>
          </cell>
          <cell r="K50" t="str">
            <v>FZ/T 81006-2017
(原色产品)</v>
          </cell>
          <cell r="L50" t="str">
            <v>面料：63.1%棉 25.2%聚酯纤维 11.7%莱赛尔（绣花除外）</v>
          </cell>
        </row>
        <row r="51">
          <cell r="A51">
            <v>28628324</v>
          </cell>
          <cell r="B51" t="str">
            <v>LXY26X1659</v>
          </cell>
          <cell r="C51" t="str">
            <v>茵曼</v>
          </cell>
          <cell r="D51" t="str">
            <v>围巾类</v>
          </cell>
          <cell r="E51">
            <v>2026</v>
          </cell>
          <cell r="F51" t="str">
            <v>夏季</v>
          </cell>
          <cell r="G51" t="str">
            <v>天蓝色、浅咖色、米白色、绿色、黄色</v>
          </cell>
          <cell r="H51" t="str">
            <v/>
          </cell>
          <cell r="I51">
            <v>69</v>
          </cell>
          <cell r="J51" t="str">
            <v>田园-清新</v>
          </cell>
          <cell r="K51" t="str">
            <v>FZ/T 73042-2011</v>
          </cell>
          <cell r="L51" t="str">
            <v>100%粘纤            规格：100cm*42cm</v>
          </cell>
        </row>
        <row r="52">
          <cell r="A52">
            <v>18637207</v>
          </cell>
          <cell r="B52" t="str">
            <v>CCL26Q082</v>
          </cell>
          <cell r="C52" t="str">
            <v>茵曼</v>
          </cell>
          <cell r="D52" t="str">
            <v>针织衫</v>
          </cell>
          <cell r="E52">
            <v>2026</v>
          </cell>
          <cell r="F52" t="str">
            <v>秋季</v>
          </cell>
          <cell r="G52" t="str">
            <v>藏青、黄色</v>
          </cell>
          <cell r="H52" t="str">
            <v/>
          </cell>
          <cell r="I52">
            <v>279</v>
          </cell>
          <cell r="J52" t="str">
            <v>文艺知性通勤</v>
          </cell>
          <cell r="K52" t="str">
            <v>Q/HMFZ 9-2024</v>
          </cell>
          <cell r="L52" t="str">
            <v>面料：38.3% 聚酯纤维 35.5%锦纶 18.0%腈纶 8.2%绵羊毛</v>
          </cell>
        </row>
        <row r="53">
          <cell r="A53">
            <v>18637199</v>
          </cell>
          <cell r="B53" t="str">
            <v>WXG26Q959</v>
          </cell>
          <cell r="C53" t="str">
            <v>茵曼</v>
          </cell>
          <cell r="D53" t="str">
            <v>半身裙</v>
          </cell>
          <cell r="E53">
            <v>2026</v>
          </cell>
          <cell r="F53" t="str">
            <v>秋季</v>
          </cell>
          <cell r="G53" t="str">
            <v>咖啡格</v>
          </cell>
          <cell r="H53" t="str">
            <v/>
          </cell>
          <cell r="I53">
            <v>299</v>
          </cell>
          <cell r="J53" t="str">
            <v>田园-休闲</v>
          </cell>
          <cell r="K53" t="str">
            <v>Q/HMFZ 3-2024</v>
          </cell>
          <cell r="L53" t="str">
            <v>面料:77.4%聚酯纤维 16.9%粘纤 5.7%氨纶</v>
          </cell>
        </row>
        <row r="54">
          <cell r="A54" t="str">
            <v>W18637195</v>
          </cell>
          <cell r="B54" t="str">
            <v>ML26Q051</v>
          </cell>
          <cell r="C54" t="str">
            <v>茵曼</v>
          </cell>
          <cell r="D54" t="str">
            <v>(仿)毛衣</v>
          </cell>
          <cell r="E54">
            <v>2026</v>
          </cell>
          <cell r="F54" t="str">
            <v>秋季</v>
          </cell>
          <cell r="G54" t="str">
            <v>浅蓝色、皮粉色、浅灰色</v>
          </cell>
          <cell r="H54" t="str">
            <v/>
          </cell>
          <cell r="I54">
            <v>299</v>
          </cell>
          <cell r="J54" t="str">
            <v>田园-休闲</v>
          </cell>
          <cell r="K54" t="str">
            <v>Q/HMFZ 9-2024</v>
          </cell>
          <cell r="L54" t="str">
            <v>面料：44.6%锦纶 33.7%腈纶 21.7%聚酯纤维</v>
          </cell>
        </row>
        <row r="55">
          <cell r="A55">
            <v>18637184</v>
          </cell>
          <cell r="B55" t="str">
            <v>LJR26Q902</v>
          </cell>
          <cell r="C55" t="str">
            <v>茵曼</v>
          </cell>
          <cell r="D55" t="str">
            <v>裤子</v>
          </cell>
          <cell r="E55">
            <v>2026</v>
          </cell>
          <cell r="F55" t="str">
            <v>秋季</v>
          </cell>
          <cell r="G55" t="str">
            <v>奶杏色、午夜黑、深灰色</v>
          </cell>
          <cell r="H55" t="str">
            <v/>
          </cell>
          <cell r="I55">
            <v>229</v>
          </cell>
          <cell r="J55" t="str">
            <v>文艺知性通勤</v>
          </cell>
          <cell r="K55" t="str">
            <v>Q/HMFZ 4-2022</v>
          </cell>
          <cell r="L55" t="str">
            <v>奶杏色/深灰色 面料：面层：98.6%聚酯纤维 1.4%氨纶 底层：87.0%聚酯纤维 13.0%粘纤
午夜黑 面料：面层：98.6%聚酯纤维 1.4%氨纶 底层：94.5%聚酯纤维 5.5%氨纶</v>
          </cell>
        </row>
        <row r="56">
          <cell r="A56">
            <v>18637170</v>
          </cell>
          <cell r="B56" t="str">
            <v>CXN26Q093</v>
          </cell>
          <cell r="C56" t="str">
            <v>茵曼</v>
          </cell>
          <cell r="D56" t="str">
            <v>裤子</v>
          </cell>
          <cell r="E56">
            <v>2026</v>
          </cell>
          <cell r="F56" t="str">
            <v>秋季</v>
          </cell>
          <cell r="G56" t="str">
            <v>深棕色</v>
          </cell>
          <cell r="H56" t="str">
            <v/>
          </cell>
          <cell r="I56">
            <v>329</v>
          </cell>
          <cell r="J56" t="str">
            <v>田园-复古</v>
          </cell>
          <cell r="K56" t="str">
            <v>Q/HMFZ 3-2024</v>
          </cell>
          <cell r="L56" t="str">
            <v>面料：100%棉</v>
          </cell>
        </row>
        <row r="57">
          <cell r="A57" t="str">
            <v>18332071H1</v>
          </cell>
          <cell r="B57" t="str">
            <v>HCY23Q027</v>
          </cell>
          <cell r="C57" t="str">
            <v>茵曼</v>
          </cell>
          <cell r="D57" t="str">
            <v>半身裙</v>
          </cell>
          <cell r="E57">
            <v>2026</v>
          </cell>
          <cell r="F57" t="str">
            <v>秋季</v>
          </cell>
          <cell r="G57" t="str">
            <v>浅牛仔、珍珠白</v>
          </cell>
          <cell r="H57" t="str">
            <v/>
          </cell>
          <cell r="I57">
            <v>269</v>
          </cell>
          <cell r="J57" t="str">
            <v>田园-复古</v>
          </cell>
          <cell r="K57" t="str">
            <v>FZ/T81006-2017
（水洗产品）</v>
          </cell>
          <cell r="L57" t="str">
            <v>珍珠白 面料：70.0%棉 30.0%莱赛尔
浅牛仔 面料：100%棉</v>
          </cell>
        </row>
        <row r="58">
          <cell r="A58">
            <v>18637126</v>
          </cell>
          <cell r="B58" t="str">
            <v>CYP26Q452</v>
          </cell>
          <cell r="C58" t="str">
            <v>茵曼</v>
          </cell>
          <cell r="D58" t="str">
            <v>外套 上衣</v>
          </cell>
          <cell r="E58">
            <v>2026</v>
          </cell>
          <cell r="F58" t="str">
            <v>秋季</v>
          </cell>
          <cell r="G58" t="str">
            <v>草绿色、紫色、黄色</v>
          </cell>
          <cell r="H58" t="str">
            <v/>
          </cell>
          <cell r="I58">
            <v>349</v>
          </cell>
          <cell r="J58" t="str">
            <v>田园-复古</v>
          </cell>
          <cell r="K58" t="str">
            <v>Q/HMFZ 3-2024</v>
          </cell>
          <cell r="L58" t="str">
            <v>面料：73.5%棉 26.5%锦纶 里料：100%聚酯纤维</v>
          </cell>
        </row>
        <row r="59">
          <cell r="A59">
            <v>18637125</v>
          </cell>
          <cell r="B59" t="str">
            <v>LY26Q160</v>
          </cell>
          <cell r="C59" t="str">
            <v>茵曼</v>
          </cell>
          <cell r="D59" t="str">
            <v>衬衣</v>
          </cell>
          <cell r="E59">
            <v>2026</v>
          </cell>
          <cell r="F59" t="str">
            <v>秋季</v>
          </cell>
          <cell r="G59" t="str">
            <v>瓷砂白、蓝灰色</v>
          </cell>
          <cell r="H59" t="str">
            <v/>
          </cell>
          <cell r="I59">
            <v>229</v>
          </cell>
          <cell r="J59" t="str">
            <v>田园-复古</v>
          </cell>
          <cell r="K59" t="str">
            <v>Q/HMFZ 3-2024</v>
          </cell>
          <cell r="L59" t="str">
            <v>面料:100%棉</v>
          </cell>
        </row>
        <row r="60">
          <cell r="A60">
            <v>18637123</v>
          </cell>
          <cell r="B60" t="str">
            <v>WXG26Q676</v>
          </cell>
          <cell r="C60" t="str">
            <v>茵曼</v>
          </cell>
          <cell r="D60" t="str">
            <v>外套 上衣</v>
          </cell>
          <cell r="E60">
            <v>2026</v>
          </cell>
          <cell r="F60" t="str">
            <v>秋季</v>
          </cell>
          <cell r="G60" t="str">
            <v>棕色、藏青色、紫色</v>
          </cell>
          <cell r="H60" t="str">
            <v/>
          </cell>
          <cell r="I60">
            <v>409</v>
          </cell>
          <cell r="J60" t="str">
            <v>田园-法式</v>
          </cell>
          <cell r="K60" t="str">
            <v>Q/HMFZ 3-2024</v>
          </cell>
          <cell r="L60" t="str">
            <v>面料：100%棉 里料： 100%聚酯纤维</v>
          </cell>
        </row>
        <row r="61">
          <cell r="A61">
            <v>18637118</v>
          </cell>
          <cell r="B61" t="str">
            <v>LJL26Q336</v>
          </cell>
          <cell r="C61" t="str">
            <v>茵曼</v>
          </cell>
          <cell r="D61" t="str">
            <v>衬衣</v>
          </cell>
          <cell r="E61">
            <v>2026</v>
          </cell>
          <cell r="F61" t="str">
            <v>秋季</v>
          </cell>
          <cell r="G61" t="str">
            <v>米杏色、彩蓝色、绿色</v>
          </cell>
          <cell r="H61" t="str">
            <v/>
          </cell>
          <cell r="I61">
            <v>229</v>
          </cell>
          <cell r="J61" t="str">
            <v>田园-法式</v>
          </cell>
          <cell r="K61" t="str">
            <v>Q/HMFZ 3-2024</v>
          </cell>
          <cell r="L61" t="str">
            <v>面料:100%棉</v>
          </cell>
        </row>
        <row r="62">
          <cell r="A62">
            <v>18637117</v>
          </cell>
          <cell r="B62" t="str">
            <v>HCY26Q910</v>
          </cell>
          <cell r="C62" t="str">
            <v>茵曼</v>
          </cell>
          <cell r="D62" t="str">
            <v>外套 上衣</v>
          </cell>
          <cell r="E62">
            <v>2026</v>
          </cell>
          <cell r="F62" t="str">
            <v>秋季</v>
          </cell>
          <cell r="G62" t="str">
            <v>浅牛仔</v>
          </cell>
          <cell r="H62" t="str">
            <v/>
          </cell>
          <cell r="I62">
            <v>349</v>
          </cell>
          <cell r="J62" t="str">
            <v>田园-复古</v>
          </cell>
          <cell r="K62" t="str">
            <v>FZ/T 81006-2017
(水洗产品)</v>
          </cell>
          <cell r="L62" t="str">
            <v>面料:100%棉</v>
          </cell>
        </row>
        <row r="63">
          <cell r="A63" t="str">
            <v>W18637108</v>
          </cell>
          <cell r="B63" t="str">
            <v>LST26Q725</v>
          </cell>
          <cell r="C63" t="str">
            <v>茵曼</v>
          </cell>
          <cell r="D63" t="str">
            <v>半身裙</v>
          </cell>
          <cell r="E63">
            <v>2026</v>
          </cell>
          <cell r="F63" t="str">
            <v>秋季</v>
          </cell>
          <cell r="G63" t="str">
            <v>卡其色</v>
          </cell>
          <cell r="H63" t="str">
            <v/>
          </cell>
          <cell r="I63">
            <v>269</v>
          </cell>
          <cell r="J63" t="str">
            <v>田园-法式</v>
          </cell>
          <cell r="K63" t="str">
            <v>Q/HMFZ 3-2024</v>
          </cell>
          <cell r="L63" t="str">
            <v>面料：面层/底层：100%聚酯纤维 里料 ：100%聚酯纤维</v>
          </cell>
        </row>
        <row r="64">
          <cell r="A64">
            <v>18637090</v>
          </cell>
          <cell r="B64" t="str">
            <v>LY26Q457</v>
          </cell>
          <cell r="C64" t="str">
            <v>茵曼</v>
          </cell>
          <cell r="D64" t="str">
            <v>外套 上衣</v>
          </cell>
          <cell r="E64">
            <v>2026</v>
          </cell>
          <cell r="F64" t="str">
            <v>秋季</v>
          </cell>
          <cell r="G64" t="str">
            <v>深藏青</v>
          </cell>
          <cell r="H64" t="str">
            <v/>
          </cell>
          <cell r="I64">
            <v>399</v>
          </cell>
          <cell r="J64" t="str">
            <v>田园-复古</v>
          </cell>
          <cell r="K64" t="str">
            <v>Q/HMFZ 3-2024</v>
          </cell>
          <cell r="L64" t="str">
            <v>面料：80.3%聚酯纤维 19.7%棉（贴布绣除外）里料：100%聚酯纤维</v>
          </cell>
        </row>
        <row r="65">
          <cell r="A65">
            <v>18637088</v>
          </cell>
          <cell r="B65" t="str">
            <v>LY26Q718</v>
          </cell>
          <cell r="C65" t="str">
            <v>茵曼</v>
          </cell>
          <cell r="D65" t="str">
            <v>衬衣</v>
          </cell>
          <cell r="E65">
            <v>2026</v>
          </cell>
          <cell r="F65" t="str">
            <v>秋季</v>
          </cell>
          <cell r="G65" t="str">
            <v>珍珠白</v>
          </cell>
          <cell r="H65" t="str">
            <v/>
          </cell>
          <cell r="I65">
            <v>229</v>
          </cell>
          <cell r="J65" t="str">
            <v>田园-法式</v>
          </cell>
          <cell r="K65" t="str">
            <v>Q/HMFZ 3-2024</v>
          </cell>
          <cell r="L65" t="str">
            <v>面料:100%棉</v>
          </cell>
        </row>
        <row r="66">
          <cell r="A66">
            <v>18637080</v>
          </cell>
          <cell r="B66" t="str">
            <v>WXG26Q905</v>
          </cell>
          <cell r="C66" t="str">
            <v>茵曼</v>
          </cell>
          <cell r="D66" t="str">
            <v>半身裙</v>
          </cell>
          <cell r="E66">
            <v>2026</v>
          </cell>
          <cell r="F66" t="str">
            <v>秋季</v>
          </cell>
          <cell r="G66" t="str">
            <v>牛仔蓝</v>
          </cell>
          <cell r="H66" t="str">
            <v/>
          </cell>
          <cell r="I66">
            <v>299</v>
          </cell>
          <cell r="J66" t="str">
            <v>田园-复古</v>
          </cell>
          <cell r="K66" t="str">
            <v>FZ/T81006-2017
（水洗产品）</v>
          </cell>
          <cell r="L66" t="str">
            <v>面料：100%棉</v>
          </cell>
        </row>
        <row r="67">
          <cell r="A67">
            <v>18637078</v>
          </cell>
          <cell r="B67" t="str">
            <v>LY26Q540</v>
          </cell>
          <cell r="C67" t="str">
            <v>茵曼</v>
          </cell>
          <cell r="D67" t="str">
            <v>衬衣</v>
          </cell>
          <cell r="E67">
            <v>2026</v>
          </cell>
          <cell r="F67" t="str">
            <v>秋季</v>
          </cell>
          <cell r="G67" t="str">
            <v>米白色、海盐蓝</v>
          </cell>
          <cell r="H67" t="str">
            <v/>
          </cell>
          <cell r="I67">
            <v>209</v>
          </cell>
          <cell r="J67" t="str">
            <v>田园-休闲</v>
          </cell>
          <cell r="K67" t="str">
            <v>Q/HMFZ 3-2024</v>
          </cell>
          <cell r="L67" t="str">
            <v>面料：100%棉</v>
          </cell>
        </row>
        <row r="68">
          <cell r="A68">
            <v>18637075</v>
          </cell>
          <cell r="B68" t="str">
            <v>CCL26Q615</v>
          </cell>
          <cell r="C68" t="str">
            <v>茵曼</v>
          </cell>
          <cell r="D68" t="str">
            <v>(仿)毛衣</v>
          </cell>
          <cell r="E68">
            <v>2026</v>
          </cell>
          <cell r="F68" t="str">
            <v>秋季</v>
          </cell>
          <cell r="G68" t="str">
            <v>浅粉色、浅米杏</v>
          </cell>
          <cell r="H68" t="str">
            <v/>
          </cell>
          <cell r="I68">
            <v>229</v>
          </cell>
          <cell r="J68" t="str">
            <v>田园-休闲</v>
          </cell>
          <cell r="K68" t="str">
            <v>Q/HMFZ 9-2024</v>
          </cell>
          <cell r="L68" t="str">
            <v>浅米杏 面料：55.1%腈纶 29.0%聚酯纤维 15.9%锦纶
浅粉色 面料：47.1%腈纶 30.0%聚酯纤维 22.9%锦纶</v>
          </cell>
        </row>
        <row r="69">
          <cell r="A69" t="str">
            <v>W18637061</v>
          </cell>
          <cell r="B69" t="str">
            <v>ML26Q060</v>
          </cell>
          <cell r="C69" t="str">
            <v>茵曼</v>
          </cell>
          <cell r="D69" t="str">
            <v>针织衫</v>
          </cell>
          <cell r="E69">
            <v>2026</v>
          </cell>
          <cell r="F69" t="str">
            <v>秋季</v>
          </cell>
          <cell r="G69" t="str">
            <v>贵族灰、米白色、燕麦色</v>
          </cell>
          <cell r="H69" t="str">
            <v/>
          </cell>
          <cell r="I69">
            <v>229</v>
          </cell>
          <cell r="J69" t="str">
            <v>田园-休闲</v>
          </cell>
          <cell r="K69" t="str">
            <v>Q/HMFZ 9-2024</v>
          </cell>
          <cell r="L69" t="str">
            <v>面料：44.3%聚酯纤维 30.1%腈纶 20.2%锦纶 5.4%绵羊毛</v>
          </cell>
        </row>
        <row r="70">
          <cell r="A70">
            <v>18637058</v>
          </cell>
          <cell r="B70" t="str">
            <v>CCL26Q638</v>
          </cell>
          <cell r="C70" t="str">
            <v>茵曼</v>
          </cell>
          <cell r="D70" t="str">
            <v>(仿)毛衣</v>
          </cell>
          <cell r="E70">
            <v>2026</v>
          </cell>
          <cell r="F70" t="str">
            <v>秋季</v>
          </cell>
          <cell r="G70" t="str">
            <v>咖色</v>
          </cell>
          <cell r="H70" t="str">
            <v/>
          </cell>
          <cell r="I70">
            <v>299</v>
          </cell>
          <cell r="J70" t="str">
            <v>田园-法式</v>
          </cell>
          <cell r="K70" t="str">
            <v>Q/HMFZ 9-2024</v>
          </cell>
          <cell r="L70" t="str">
            <v>身面料：47.3%腈纶41.1%棉11.6%锦纶 前幅内层：51.4%腈纶48.6%棉</v>
          </cell>
        </row>
        <row r="71">
          <cell r="A71">
            <v>18637053</v>
          </cell>
          <cell r="B71" t="str">
            <v>LJL26Q685</v>
          </cell>
          <cell r="C71" t="str">
            <v>茵曼</v>
          </cell>
          <cell r="D71" t="str">
            <v>衬衣</v>
          </cell>
          <cell r="E71">
            <v>2026</v>
          </cell>
          <cell r="F71" t="str">
            <v>秋季</v>
          </cell>
          <cell r="G71" t="str">
            <v>米杏色、釉蓝色</v>
          </cell>
          <cell r="H71" t="str">
            <v/>
          </cell>
          <cell r="I71">
            <v>259</v>
          </cell>
          <cell r="J71" t="str">
            <v>田园-复古</v>
          </cell>
          <cell r="K71" t="str">
            <v>Q/HMFZ 3-2024</v>
          </cell>
          <cell r="L71" t="str">
            <v>面料:100%棉</v>
          </cell>
        </row>
        <row r="72">
          <cell r="A72">
            <v>18637052</v>
          </cell>
          <cell r="B72" t="str">
            <v>LJL26Q159</v>
          </cell>
          <cell r="C72" t="str">
            <v>茵曼</v>
          </cell>
          <cell r="D72" t="str">
            <v>衬衣</v>
          </cell>
          <cell r="E72">
            <v>2026</v>
          </cell>
          <cell r="F72" t="str">
            <v>秋季</v>
          </cell>
          <cell r="G72" t="str">
            <v>浅紫色、鹅黄色、海蓝色</v>
          </cell>
          <cell r="H72" t="str">
            <v/>
          </cell>
          <cell r="I72">
            <v>219</v>
          </cell>
          <cell r="J72" t="str">
            <v>文艺知性通勤</v>
          </cell>
          <cell r="K72" t="str">
            <v>Q/HMFZ 3-2024</v>
          </cell>
          <cell r="L72" t="str">
            <v>面料:100%棉</v>
          </cell>
        </row>
        <row r="73">
          <cell r="A73">
            <v>18637034</v>
          </cell>
          <cell r="B73" t="str">
            <v>LY26Q961</v>
          </cell>
          <cell r="C73" t="str">
            <v>茵曼</v>
          </cell>
          <cell r="D73" t="str">
            <v>半身裙</v>
          </cell>
          <cell r="E73">
            <v>2026</v>
          </cell>
          <cell r="F73" t="str">
            <v>秋季</v>
          </cell>
          <cell r="G73" t="str">
            <v>杏咖格</v>
          </cell>
          <cell r="H73" t="str">
            <v/>
          </cell>
          <cell r="I73">
            <v>299</v>
          </cell>
          <cell r="J73" t="str">
            <v>田园-复古</v>
          </cell>
          <cell r="K73" t="str">
            <v>Q/HMFZ 4-2022</v>
          </cell>
          <cell r="L73" t="str">
            <v>面料：84.0%聚酯纤维 13.9%粘纤 2.1%氨纶 里料：100%聚酯纤维</v>
          </cell>
        </row>
        <row r="74">
          <cell r="A74">
            <v>18637022</v>
          </cell>
          <cell r="B74" t="str">
            <v>LJR26Q769</v>
          </cell>
          <cell r="C74" t="str">
            <v>茵曼</v>
          </cell>
          <cell r="D74" t="str">
            <v>半身裙</v>
          </cell>
          <cell r="E74">
            <v>2026</v>
          </cell>
          <cell r="F74" t="str">
            <v>秋季</v>
          </cell>
          <cell r="G74" t="str">
            <v>宝蓝格</v>
          </cell>
          <cell r="H74" t="str">
            <v/>
          </cell>
          <cell r="I74">
            <v>349</v>
          </cell>
          <cell r="J74" t="str">
            <v>田园-复古</v>
          </cell>
          <cell r="K74" t="str">
            <v>Q/HMFZ 3-2024</v>
          </cell>
          <cell r="L74" t="str">
            <v>面料:84.7%聚酯纤维 14.3%粘纤 1.0%氨纶</v>
          </cell>
        </row>
        <row r="75">
          <cell r="A75">
            <v>18637019</v>
          </cell>
          <cell r="B75" t="str">
            <v>LY26Q524</v>
          </cell>
          <cell r="C75" t="str">
            <v>茵曼</v>
          </cell>
          <cell r="D75" t="str">
            <v>(仿)毛衣</v>
          </cell>
          <cell r="E75">
            <v>2026</v>
          </cell>
          <cell r="F75" t="str">
            <v>秋季</v>
          </cell>
          <cell r="G75" t="str">
            <v>姜黄色</v>
          </cell>
          <cell r="H75" t="str">
            <v/>
          </cell>
          <cell r="I75">
            <v>349</v>
          </cell>
          <cell r="J75" t="str">
            <v>文艺知性通勤</v>
          </cell>
          <cell r="K75" t="str">
            <v>Q/HMFZ 9-2024</v>
          </cell>
          <cell r="L75" t="str">
            <v>面料：92.8%聚酯纤维 2.6%氨纶 2.6%锦纶 2.0%绵羊毛（贴布绣花除外）</v>
          </cell>
        </row>
        <row r="76">
          <cell r="A76" t="str">
            <v>K18618820</v>
          </cell>
          <cell r="B76" t="str">
            <v>BK24C024</v>
          </cell>
          <cell r="C76" t="str">
            <v>茵曼</v>
          </cell>
          <cell r="D76" t="str">
            <v>T恤</v>
          </cell>
          <cell r="E76">
            <v>2026</v>
          </cell>
          <cell r="F76" t="str">
            <v>春季</v>
          </cell>
          <cell r="G76" t="str">
            <v>午夜黑、白色、花灰色</v>
          </cell>
          <cell r="H76" t="str">
            <v/>
          </cell>
          <cell r="I76">
            <v>99</v>
          </cell>
          <cell r="J76" t="str">
            <v>田园-清新</v>
          </cell>
          <cell r="K76" t="str">
            <v>Q/HMFZ 4-2022</v>
          </cell>
          <cell r="L76" t="str">
            <v>面料： 100%棉</v>
          </cell>
        </row>
        <row r="77">
          <cell r="A77" t="str">
            <v>K18618781</v>
          </cell>
          <cell r="B77" t="str">
            <v>CYP26C148</v>
          </cell>
          <cell r="C77" t="str">
            <v>茵曼</v>
          </cell>
          <cell r="D77" t="str">
            <v>衬衣</v>
          </cell>
          <cell r="E77">
            <v>2026</v>
          </cell>
          <cell r="F77" t="str">
            <v>春季</v>
          </cell>
          <cell r="G77" t="str">
            <v>浅蓝色、米杏色</v>
          </cell>
          <cell r="H77" t="str">
            <v/>
          </cell>
          <cell r="I77">
            <v>239</v>
          </cell>
          <cell r="J77" t="str">
            <v>田园-艺术</v>
          </cell>
          <cell r="K77" t="str">
            <v>Q/HMFZ 3-2024</v>
          </cell>
          <cell r="L77" t="str">
            <v>面料：56.2%莱赛尔 43.8%棉</v>
          </cell>
        </row>
        <row r="78">
          <cell r="A78" t="str">
            <v>F18618752</v>
          </cell>
          <cell r="B78" t="str">
            <v>DSH26X010</v>
          </cell>
          <cell r="C78" t="str">
            <v>茵曼</v>
          </cell>
          <cell r="D78" t="str">
            <v>T恤</v>
          </cell>
          <cell r="E78">
            <v>2026</v>
          </cell>
          <cell r="F78" t="str">
            <v>春季</v>
          </cell>
          <cell r="G78" t="str">
            <v>米杏色</v>
          </cell>
          <cell r="H78" t="str">
            <v/>
          </cell>
          <cell r="I78">
            <v>199</v>
          </cell>
          <cell r="J78" t="str">
            <v>田园-法式</v>
          </cell>
          <cell r="K78" t="str">
            <v>Q/HMFZ 4-2022</v>
          </cell>
          <cell r="L78" t="str">
            <v>面料:97.5%聚酯纤维 2.5%氨纶</v>
          </cell>
        </row>
        <row r="79">
          <cell r="A79" t="str">
            <v>K18314485H2</v>
          </cell>
          <cell r="B79" t="str">
            <v>LY22C736</v>
          </cell>
          <cell r="C79" t="str">
            <v>茵曼</v>
          </cell>
          <cell r="D79" t="str">
            <v>衬衣</v>
          </cell>
          <cell r="E79">
            <v>2026</v>
          </cell>
          <cell r="F79" t="str">
            <v>春季</v>
          </cell>
          <cell r="G79" t="str">
            <v>春草绿</v>
          </cell>
          <cell r="H79" t="str">
            <v/>
          </cell>
          <cell r="I79">
            <v>169</v>
          </cell>
          <cell r="J79" t="str">
            <v/>
          </cell>
          <cell r="K79" t="str">
            <v>Q/HMFZ 3-2024</v>
          </cell>
          <cell r="L79" t="str">
            <v>面料： 100%棉</v>
          </cell>
        </row>
        <row r="80">
          <cell r="A80" t="str">
            <v>K18518186H2</v>
          </cell>
          <cell r="B80" t="str">
            <v>SPB25C868</v>
          </cell>
          <cell r="C80" t="str">
            <v>茵曼</v>
          </cell>
          <cell r="D80" t="str">
            <v>衬衣</v>
          </cell>
          <cell r="E80">
            <v>2026</v>
          </cell>
          <cell r="F80" t="str">
            <v>春季</v>
          </cell>
          <cell r="G80" t="str">
            <v>米白、淡粉色、浅粉色、海盐蓝</v>
          </cell>
          <cell r="H80" t="str">
            <v/>
          </cell>
          <cell r="I80">
            <v>199</v>
          </cell>
          <cell r="J80" t="str">
            <v>简约通勤</v>
          </cell>
          <cell r="K80" t="str">
            <v>Q/HMFZ 3-2024</v>
          </cell>
          <cell r="L80" t="str">
            <v>面料： 100%棉</v>
          </cell>
        </row>
        <row r="81">
          <cell r="A81" t="str">
            <v>K18538745H1</v>
          </cell>
          <cell r="B81" t="str">
            <v>DSH25Q009</v>
          </cell>
          <cell r="C81" t="str">
            <v>茵曼</v>
          </cell>
          <cell r="D81" t="str">
            <v>T恤</v>
          </cell>
          <cell r="E81">
            <v>2026</v>
          </cell>
          <cell r="F81" t="str">
            <v>春季</v>
          </cell>
          <cell r="G81" t="str">
            <v>珍珠白</v>
          </cell>
          <cell r="H81" t="str">
            <v/>
          </cell>
          <cell r="I81">
            <v>99</v>
          </cell>
          <cell r="J81" t="str">
            <v>田园-复古</v>
          </cell>
          <cell r="K81" t="str">
            <v>Q/HMFZ 4-2022</v>
          </cell>
          <cell r="L81" t="str">
            <v>面料： 100%棉</v>
          </cell>
        </row>
        <row r="82">
          <cell r="A82" t="str">
            <v>W18618569</v>
          </cell>
          <cell r="B82" t="str">
            <v>ML26C153</v>
          </cell>
          <cell r="C82" t="str">
            <v>茵曼</v>
          </cell>
          <cell r="D82" t="str">
            <v>外套 上衣</v>
          </cell>
          <cell r="E82">
            <v>2026</v>
          </cell>
          <cell r="F82" t="str">
            <v>春季</v>
          </cell>
          <cell r="G82" t="str">
            <v>深棕色</v>
          </cell>
          <cell r="H82" t="str">
            <v/>
          </cell>
          <cell r="I82">
            <v>579</v>
          </cell>
          <cell r="J82" t="str">
            <v>简约通勤</v>
          </cell>
          <cell r="K82" t="str">
            <v>Q/HMFZ 4-2022</v>
          </cell>
          <cell r="L82" t="str">
            <v>面料：面层：93.4%聚酯纤维 6.6%氨纶 底层：100%聚酯纤维（胶除外）（绣花除外）里料：100%聚酯纤维</v>
          </cell>
        </row>
        <row r="83">
          <cell r="A83" t="str">
            <v>W18618346</v>
          </cell>
          <cell r="B83" t="str">
            <v>ML26C247</v>
          </cell>
          <cell r="C83" t="str">
            <v>茵曼</v>
          </cell>
          <cell r="D83" t="str">
            <v>(仿)毛衣</v>
          </cell>
          <cell r="E83">
            <v>2026</v>
          </cell>
          <cell r="F83" t="str">
            <v>春季</v>
          </cell>
          <cell r="G83" t="str">
            <v>湖蓝色、贵族灰、燕麦色、红色</v>
          </cell>
          <cell r="H83" t="str">
            <v/>
          </cell>
          <cell r="I83">
            <v>349</v>
          </cell>
          <cell r="J83" t="str">
            <v>法式通勤</v>
          </cell>
          <cell r="K83" t="str">
            <v>Q/HMFZ 9-2024</v>
          </cell>
          <cell r="L83" t="str">
            <v>面料：39.0%聚酯纤维 30.8%腈纶 25.3%锦纶 4.9%绵羊毛</v>
          </cell>
        </row>
        <row r="84">
          <cell r="A84" t="str">
            <v>18518197H1</v>
          </cell>
          <cell r="B84" t="str">
            <v>CYP22Q134</v>
          </cell>
          <cell r="C84" t="str">
            <v>茵曼</v>
          </cell>
          <cell r="D84" t="str">
            <v>衬衣</v>
          </cell>
          <cell r="E84">
            <v>2025</v>
          </cell>
          <cell r="F84" t="str">
            <v>秋季</v>
          </cell>
          <cell r="G84" t="str">
            <v>淡香杏</v>
          </cell>
          <cell r="H84" t="str">
            <v/>
          </cell>
          <cell r="I84">
            <v>239</v>
          </cell>
          <cell r="J84" t="str">
            <v>田园-复古</v>
          </cell>
          <cell r="K84" t="str">
            <v>Q/HMFZ 3-2024</v>
          </cell>
          <cell r="L84" t="str">
            <v>面料：100%棉</v>
          </cell>
        </row>
        <row r="85">
          <cell r="A85">
            <v>18618278</v>
          </cell>
          <cell r="B85" t="str">
            <v>LXY26C701</v>
          </cell>
          <cell r="C85" t="str">
            <v>茵曼</v>
          </cell>
          <cell r="D85" t="str">
            <v>T恤</v>
          </cell>
          <cell r="E85">
            <v>2026</v>
          </cell>
          <cell r="F85" t="str">
            <v>春季</v>
          </cell>
          <cell r="G85" t="str">
            <v>蓝条、杏黑条纹</v>
          </cell>
          <cell r="H85" t="str">
            <v/>
          </cell>
          <cell r="I85">
            <v>209</v>
          </cell>
          <cell r="J85" t="str">
            <v>田园-清新</v>
          </cell>
          <cell r="K85" t="str">
            <v>Q/HMFZ 4-2022</v>
          </cell>
          <cell r="L85" t="str">
            <v>面料：93.0%聚酯纤维 5.7%粘纤 1.3%氨纶</v>
          </cell>
        </row>
        <row r="86">
          <cell r="A86" t="str">
            <v>18438181H1</v>
          </cell>
          <cell r="B86" t="str">
            <v>LJR21C358</v>
          </cell>
          <cell r="C86" t="str">
            <v>茵曼</v>
          </cell>
          <cell r="D86" t="str">
            <v>衬衣</v>
          </cell>
          <cell r="E86">
            <v>2025</v>
          </cell>
          <cell r="F86" t="str">
            <v>秋季</v>
          </cell>
          <cell r="G86" t="str">
            <v>浅蓝色、白色</v>
          </cell>
          <cell r="H86" t="str">
            <v/>
          </cell>
          <cell r="I86">
            <v>219</v>
          </cell>
          <cell r="J86" t="str">
            <v>棉麻文艺</v>
          </cell>
          <cell r="K86" t="str">
            <v>Q/HMFZ 3-2024</v>
          </cell>
          <cell r="L86" t="str">
            <v>面料：100%棉</v>
          </cell>
        </row>
        <row r="87">
          <cell r="A87" t="str">
            <v>F18518476H1</v>
          </cell>
          <cell r="B87" t="str">
            <v>WQ25C508</v>
          </cell>
          <cell r="C87" t="str">
            <v>茵曼</v>
          </cell>
          <cell r="D87" t="str">
            <v>针织衫</v>
          </cell>
          <cell r="E87">
            <v>2025</v>
          </cell>
          <cell r="F87" t="str">
            <v>秋季</v>
          </cell>
          <cell r="G87" t="str">
            <v>安哥拉红、枣红色、宝蓝色、花灰色、浅黄色</v>
          </cell>
          <cell r="H87" t="str">
            <v/>
          </cell>
          <cell r="I87">
            <v>259</v>
          </cell>
          <cell r="J87" t="str">
            <v>田园-休闲</v>
          </cell>
          <cell r="K87" t="str">
            <v>Q/HMFZ 9-2024</v>
          </cell>
          <cell r="L87" t="str">
            <v>枣红色/宝蓝色/浅黄色面料：52.8%聚酯纤维 32.5%锦纶 14.7%腈纶
安哥拉红 面料：39.8%聚酯纤维 39.1%锦纶 21.1%腈纶
花灰色 面料：55.0%聚酯纤维 37.2%锦纶 7.8%腈纶</v>
          </cell>
        </row>
        <row r="88">
          <cell r="A88" t="str">
            <v>K18518372H1</v>
          </cell>
          <cell r="B88" t="str">
            <v>SPB25C839</v>
          </cell>
          <cell r="C88" t="str">
            <v>茵曼</v>
          </cell>
          <cell r="D88" t="str">
            <v>衬衣</v>
          </cell>
          <cell r="E88">
            <v>2025</v>
          </cell>
          <cell r="F88" t="str">
            <v>秋季</v>
          </cell>
          <cell r="G88" t="str">
            <v>浅蓝色、雾霾蓝、瓷砂白、霜白色、浅水蓝、珍珠白</v>
          </cell>
          <cell r="H88" t="str">
            <v/>
          </cell>
          <cell r="I88">
            <v>179</v>
          </cell>
          <cell r="J88" t="str">
            <v>田园-休闲</v>
          </cell>
          <cell r="K88" t="str">
            <v>Q/HMFZ 3-2024</v>
          </cell>
          <cell r="L88" t="str">
            <v>面料：100%棉</v>
          </cell>
        </row>
        <row r="89">
          <cell r="A89">
            <v>18618110</v>
          </cell>
          <cell r="B89" t="str">
            <v>LJR26C262</v>
          </cell>
          <cell r="C89" t="str">
            <v>茵曼</v>
          </cell>
          <cell r="D89" t="str">
            <v>衬衣</v>
          </cell>
          <cell r="E89">
            <v>2026</v>
          </cell>
          <cell r="F89" t="str">
            <v>春季</v>
          </cell>
          <cell r="G89" t="str">
            <v>深蓝色</v>
          </cell>
          <cell r="H89" t="str">
            <v/>
          </cell>
          <cell r="I89">
            <v>229</v>
          </cell>
          <cell r="J89" t="str">
            <v>田园-清新</v>
          </cell>
          <cell r="K89" t="str">
            <v>Q/HMFZ 3-2024</v>
          </cell>
          <cell r="L89" t="str">
            <v>面料：100%棉</v>
          </cell>
        </row>
        <row r="90">
          <cell r="A90">
            <v>18618047</v>
          </cell>
          <cell r="B90" t="str">
            <v>WXG26C089</v>
          </cell>
          <cell r="C90" t="str">
            <v>茵曼</v>
          </cell>
          <cell r="D90" t="str">
            <v>衬衣</v>
          </cell>
          <cell r="E90">
            <v>2026</v>
          </cell>
          <cell r="F90" t="str">
            <v>春季</v>
          </cell>
          <cell r="G90" t="str">
            <v>浅蓝色、粉色、米白色</v>
          </cell>
          <cell r="H90" t="str">
            <v/>
          </cell>
          <cell r="I90">
            <v>279</v>
          </cell>
          <cell r="J90" t="str">
            <v>优雅-通勤</v>
          </cell>
          <cell r="K90" t="str">
            <v>Q/HMFZ 3-2024</v>
          </cell>
          <cell r="L90" t="str">
            <v>面料:85.2%棉 14.8%亚麻</v>
          </cell>
        </row>
        <row r="91">
          <cell r="A91" t="str">
            <v>F18538751</v>
          </cell>
          <cell r="B91" t="str">
            <v>DYS25Q012</v>
          </cell>
          <cell r="C91" t="str">
            <v>茵曼</v>
          </cell>
          <cell r="D91" t="str">
            <v>T恤</v>
          </cell>
          <cell r="E91">
            <v>2025</v>
          </cell>
          <cell r="F91" t="str">
            <v>秋季</v>
          </cell>
          <cell r="G91" t="str">
            <v>深灰色</v>
          </cell>
          <cell r="H91" t="str">
            <v/>
          </cell>
          <cell r="I91">
            <v>139</v>
          </cell>
          <cell r="J91" t="str">
            <v>田园-复古</v>
          </cell>
          <cell r="K91" t="str">
            <v>Q/HMFZ 4-2022</v>
          </cell>
          <cell r="L91" t="str">
            <v>面料：90.3%棉 9.7%氨纶</v>
          </cell>
        </row>
        <row r="92">
          <cell r="A92" t="str">
            <v>W18438112H1</v>
          </cell>
          <cell r="B92" t="str">
            <v>ML24Q746</v>
          </cell>
          <cell r="C92" t="str">
            <v>茵曼</v>
          </cell>
          <cell r="D92" t="str">
            <v>(仿)毛衣</v>
          </cell>
          <cell r="E92">
            <v>2025</v>
          </cell>
          <cell r="F92" t="str">
            <v>秋季</v>
          </cell>
          <cell r="G92" t="str">
            <v>浅蓝色、格调灰、贵族灰、宝蓝色、藕粉色</v>
          </cell>
          <cell r="H92" t="str">
            <v/>
          </cell>
          <cell r="I92">
            <v>269</v>
          </cell>
          <cell r="J92" t="str">
            <v>复古通勤</v>
          </cell>
          <cell r="K92" t="str">
            <v>Q/HMFZ 9-2024</v>
          </cell>
          <cell r="L92" t="str">
            <v>宝蓝色/贵族灰面料：44.7%腈纶 31.2%聚酯纤维 24.1%锦纶
藕粉色/格调灰面料：42.0%腈纶 31.6%聚酯纤维 25.3%锦纶 1.1%其他纤维</v>
          </cell>
        </row>
        <row r="93">
          <cell r="A93" t="str">
            <v>M18538640</v>
          </cell>
          <cell r="B93" t="str">
            <v>ysx1599-1</v>
          </cell>
          <cell r="C93" t="str">
            <v>茵曼</v>
          </cell>
          <cell r="D93" t="str">
            <v>(仿)毛衣</v>
          </cell>
          <cell r="E93">
            <v>2025</v>
          </cell>
          <cell r="F93" t="str">
            <v>秋季</v>
          </cell>
          <cell r="G93" t="str">
            <v>巧克力棕、藏青色、米白色、花灰色、深红</v>
          </cell>
          <cell r="H93" t="str">
            <v/>
          </cell>
          <cell r="I93">
            <v>299</v>
          </cell>
          <cell r="J93" t="str">
            <v>田园-复古</v>
          </cell>
          <cell r="K93" t="str">
            <v>Q/HMFZ 9-2024</v>
          </cell>
          <cell r="L93" t="str">
            <v>巧克力棕/米白色/深红/藏青色主料：29.3%腈纶 28.9%聚酯纤维 21.3%粘纤 17.0%锦纶 3.5%绵羊毛 蕾丝：88.2%锦纶 11.8%氨纶 
花灰色主料：29.7%聚酯纤维 24.6%腈纶 22.5%再生纤维素纤维 19.9%锦纶 3.3%绵羊毛蕾丝：88.3%锦纶11.7%氨纶</v>
          </cell>
        </row>
        <row r="94">
          <cell r="A94">
            <v>18538377</v>
          </cell>
          <cell r="B94" t="str">
            <v>WY25Q749</v>
          </cell>
          <cell r="C94" t="str">
            <v>茵曼</v>
          </cell>
          <cell r="D94" t="str">
            <v>外套 上衣</v>
          </cell>
          <cell r="E94">
            <v>2025</v>
          </cell>
          <cell r="F94" t="str">
            <v>秋季</v>
          </cell>
          <cell r="G94" t="str">
            <v>藏蓝色、卡其色、浅卡其</v>
          </cell>
          <cell r="H94" t="str">
            <v/>
          </cell>
          <cell r="I94">
            <v>349</v>
          </cell>
          <cell r="J94" t="str">
            <v>田园-复古</v>
          </cell>
          <cell r="K94" t="str">
            <v>Q/HMFZ 3-2024</v>
          </cell>
          <cell r="L94" t="str">
            <v>面料：100%棉 配料：100%棉 里料： 100%聚酯纤维</v>
          </cell>
        </row>
        <row r="95">
          <cell r="A95">
            <v>18538373</v>
          </cell>
          <cell r="B95" t="str">
            <v>WXG25Q335</v>
          </cell>
          <cell r="C95" t="str">
            <v>茵曼</v>
          </cell>
          <cell r="D95" t="str">
            <v>(仿)毛衣</v>
          </cell>
          <cell r="E95">
            <v>2025</v>
          </cell>
          <cell r="F95" t="str">
            <v>秋季</v>
          </cell>
          <cell r="G95" t="str">
            <v>中国红、咖色、杏色、红色、咖啡色</v>
          </cell>
          <cell r="H95" t="str">
            <v/>
          </cell>
          <cell r="I95">
            <v>349</v>
          </cell>
          <cell r="J95" t="str">
            <v>田园-生活趣味</v>
          </cell>
          <cell r="K95" t="str">
            <v>Q/HMFZ 9-2024</v>
          </cell>
          <cell r="L95" t="str">
            <v>咖色/红色面料：39.3%腈纶 30.5%锦纶 30.2%聚酯纤维
中国红/咖啡色/杏色 面料：43.9%腈纶 32.2%聚酯纤维 23.9%锦纶</v>
          </cell>
        </row>
        <row r="96">
          <cell r="A96">
            <v>18538248</v>
          </cell>
          <cell r="B96" t="str">
            <v>CCL25Q746</v>
          </cell>
          <cell r="C96" t="str">
            <v>茵曼</v>
          </cell>
          <cell r="D96" t="str">
            <v>(仿)毛衣</v>
          </cell>
          <cell r="E96">
            <v>2025</v>
          </cell>
          <cell r="F96" t="str">
            <v>秋季</v>
          </cell>
          <cell r="G96" t="str">
            <v>藏青、花咖、浅咖色、花灰色、白色、灰色、红色</v>
          </cell>
          <cell r="H96" t="str">
            <v/>
          </cell>
          <cell r="I96">
            <v>299</v>
          </cell>
          <cell r="J96" t="str">
            <v>优雅-通勤</v>
          </cell>
          <cell r="K96" t="str">
            <v>Q/HMFZ 9-2024</v>
          </cell>
          <cell r="L96" t="str">
            <v>灰色/藏青/花灰色面料：49.6%腈纶 30.7%聚酯纤维 19.7%锦纶 领子：100%棉 
红色/花咖面料：47.3%腈纶 29.2%聚酯纤维 23.5%锦纶 领子： 74.6%棉22.3%锦纶 3.1%氨纶
浅咖色 面料：55.8%腈纶 30.2%聚酯纤维 14.0%锦纶  领子： 75.0%棉 21.9%锦纶 3.1%氨纶
白色 面料：41.5%锦纶 34.7% 腈纶 23.8%聚酯纤维 领子：100%棉</v>
          </cell>
        </row>
        <row r="97">
          <cell r="A97" t="str">
            <v>W18538192</v>
          </cell>
          <cell r="B97" t="str">
            <v>ML25Q910</v>
          </cell>
          <cell r="C97" t="str">
            <v>茵曼</v>
          </cell>
          <cell r="D97" t="str">
            <v>羊毛衫</v>
          </cell>
          <cell r="E97">
            <v>2025</v>
          </cell>
          <cell r="F97" t="str">
            <v>秋季</v>
          </cell>
          <cell r="G97" t="str">
            <v>米杏色、贵族灰、午夜黑、燕麦色、克莱因蓝</v>
          </cell>
          <cell r="H97" t="str">
            <v/>
          </cell>
          <cell r="I97">
            <v>299</v>
          </cell>
          <cell r="J97" t="str">
            <v>田园-法式</v>
          </cell>
          <cell r="K97" t="str">
            <v>Q/HMFZ 9-2024</v>
          </cell>
          <cell r="L97" t="str">
            <v>面料：100%绵羊毛</v>
          </cell>
        </row>
        <row r="98">
          <cell r="A98" t="str">
            <v>W18538189</v>
          </cell>
          <cell r="B98" t="str">
            <v>ML25Q906</v>
          </cell>
          <cell r="C98" t="str">
            <v>茵曼</v>
          </cell>
          <cell r="D98" t="str">
            <v>羊毛衫</v>
          </cell>
          <cell r="E98">
            <v>2025</v>
          </cell>
          <cell r="F98" t="str">
            <v>秋季</v>
          </cell>
          <cell r="G98" t="str">
            <v>天蓝色、贵族灰、大红色、珍珠白</v>
          </cell>
          <cell r="H98" t="str">
            <v/>
          </cell>
          <cell r="I98">
            <v>299</v>
          </cell>
          <cell r="J98" t="str">
            <v>田园-复古</v>
          </cell>
          <cell r="K98" t="str">
            <v>Q/HMFZ 9-2024</v>
          </cell>
          <cell r="L98" t="str">
            <v>面料：100%绵羊毛</v>
          </cell>
        </row>
        <row r="99">
          <cell r="A99">
            <v>18538109</v>
          </cell>
          <cell r="B99" t="str">
            <v>WXG25Q329</v>
          </cell>
          <cell r="C99" t="str">
            <v>茵曼</v>
          </cell>
          <cell r="D99" t="str">
            <v>针织衫</v>
          </cell>
          <cell r="E99">
            <v>2025</v>
          </cell>
          <cell r="F99" t="str">
            <v>秋季</v>
          </cell>
          <cell r="G99" t="str">
            <v>亮蓝色、浅水绿、灰色、红色</v>
          </cell>
          <cell r="H99" t="str">
            <v/>
          </cell>
          <cell r="I99">
            <v>229</v>
          </cell>
          <cell r="J99" t="str">
            <v>都市休闲</v>
          </cell>
          <cell r="K99" t="str">
            <v>Q/HMFZ 9-2024</v>
          </cell>
          <cell r="L99" t="str">
            <v>面料： 55.7 %腈纶 44.3%棉</v>
          </cell>
        </row>
        <row r="100">
          <cell r="A100">
            <v>18538047</v>
          </cell>
          <cell r="B100" t="str">
            <v>CCL25Q279</v>
          </cell>
          <cell r="C100" t="str">
            <v>茵曼</v>
          </cell>
          <cell r="D100" t="str">
            <v>(仿)毛衣</v>
          </cell>
          <cell r="E100">
            <v>2025</v>
          </cell>
          <cell r="F100" t="str">
            <v>秋季</v>
          </cell>
          <cell r="G100" t="str">
            <v>天蓝色、姜黄、彩蓝色、黄色、姜黄色</v>
          </cell>
          <cell r="H100" t="str">
            <v/>
          </cell>
          <cell r="I100">
            <v>349</v>
          </cell>
          <cell r="J100" t="str">
            <v>都市通勤</v>
          </cell>
          <cell r="K100" t="str">
            <v>Q/HMFZ 9-2024</v>
          </cell>
          <cell r="L100" t="str">
            <v>黄色/姜黄色/彩蓝色面料：70.0%聚酯纤维 13.9%锦纶 8.7%腈纶 6.1%绵羊毛 1.3%氨纶
天蓝色面料：73.1%聚酯纤维 14.4%锦纶  6.1%绵羊毛4.1%腈纶 2.3%氨纶</v>
          </cell>
        </row>
        <row r="101">
          <cell r="A101">
            <v>18518196</v>
          </cell>
          <cell r="B101" t="str">
            <v>WXD22Q344</v>
          </cell>
          <cell r="C101" t="str">
            <v>茵曼</v>
          </cell>
          <cell r="D101" t="str">
            <v>外套 上衣</v>
          </cell>
          <cell r="E101">
            <v>2025</v>
          </cell>
          <cell r="F101" t="str">
            <v>春季</v>
          </cell>
          <cell r="G101" t="str">
            <v>杏果黄、杏黄色、杏色、咖啡色</v>
          </cell>
          <cell r="H101" t="str">
            <v/>
          </cell>
          <cell r="I101">
            <v>339</v>
          </cell>
          <cell r="J101" t="str">
            <v>田园-复古</v>
          </cell>
          <cell r="K101" t="str">
            <v>Q/HMFZ 4-2022</v>
          </cell>
          <cell r="L101" t="str">
            <v>杏果黄/咖啡色/杏色 面料：面层：93.3%聚酯纤维 6.7%氨纶 底层：100%聚酯纤维
杏黄色面料：面层：96.7%聚酯纤维 3.3%氨纶 底层：100%聚酯纤维</v>
          </cell>
        </row>
        <row r="102">
          <cell r="A102">
            <v>18518163</v>
          </cell>
          <cell r="B102" t="str">
            <v>LY21Q911</v>
          </cell>
          <cell r="C102" t="str">
            <v>茵曼</v>
          </cell>
          <cell r="D102" t="str">
            <v>衬衣</v>
          </cell>
          <cell r="E102">
            <v>2025</v>
          </cell>
          <cell r="F102" t="str">
            <v>春季</v>
          </cell>
          <cell r="G102" t="str">
            <v>浅蓝色、宝石蓝、蓝色、蓝紫色、浅粉色、淡雅紫、皮粉色、珍珠白、白色、克莱因蓝</v>
          </cell>
          <cell r="H102" t="str">
            <v/>
          </cell>
          <cell r="I102">
            <v>159</v>
          </cell>
          <cell r="J102" t="str">
            <v>田园-清新</v>
          </cell>
          <cell r="K102" t="str">
            <v>Q/HMFZ 3-2024</v>
          </cell>
          <cell r="L102" t="str">
            <v>面料：82.0%聚酯纤维 18.0%棉
克莱因蓝/白色/浅蓝色/淡雅紫/皮粉色面料：60.1%聚酯纤维 39.9%棉
浅粉色/蓝色	面料：65.0%聚酯纤维 35.0%棉
宝石蓝面料：89.3%聚酯纤维 10.7%棉</v>
          </cell>
        </row>
        <row r="103">
          <cell r="A103">
            <v>18518157</v>
          </cell>
          <cell r="B103" t="str">
            <v>CCL25C258</v>
          </cell>
          <cell r="C103" t="str">
            <v>茵曼</v>
          </cell>
          <cell r="D103" t="str">
            <v>针织衫</v>
          </cell>
          <cell r="E103">
            <v>2025</v>
          </cell>
          <cell r="F103" t="str">
            <v>春季</v>
          </cell>
          <cell r="G103" t="str">
            <v>杏色</v>
          </cell>
          <cell r="H103" t="str">
            <v/>
          </cell>
          <cell r="I103">
            <v>239</v>
          </cell>
          <cell r="J103" t="str">
            <v>田园-法式</v>
          </cell>
          <cell r="K103" t="str">
            <v>Q/HMFZ 9-2024</v>
          </cell>
          <cell r="L103" t="str">
            <v>面料：100%腈纶</v>
          </cell>
        </row>
        <row r="104">
          <cell r="A104">
            <v>18518132</v>
          </cell>
          <cell r="B104" t="str">
            <v>LY25C026</v>
          </cell>
          <cell r="C104" t="str">
            <v>茵曼</v>
          </cell>
          <cell r="D104" t="str">
            <v>半身裙</v>
          </cell>
          <cell r="E104">
            <v>2025</v>
          </cell>
          <cell r="F104" t="str">
            <v>春季</v>
          </cell>
          <cell r="G104" t="str">
            <v>深灰色</v>
          </cell>
          <cell r="H104" t="str">
            <v/>
          </cell>
          <cell r="I104">
            <v>299</v>
          </cell>
          <cell r="J104" t="str">
            <v>简约通勤</v>
          </cell>
          <cell r="K104" t="str">
            <v>Q/HMFZ 3-2024</v>
          </cell>
          <cell r="L104" t="str">
            <v>面料：65.5%聚酯纤维 33.9%粘纤 0.6%氨纶 里料：100%聚酯纤维</v>
          </cell>
        </row>
        <row r="105">
          <cell r="A105">
            <v>18438142</v>
          </cell>
          <cell r="B105" t="str">
            <v>WY24Q216</v>
          </cell>
          <cell r="C105" t="str">
            <v>茵曼</v>
          </cell>
          <cell r="D105" t="str">
            <v>外套 上衣</v>
          </cell>
          <cell r="E105">
            <v>2024</v>
          </cell>
          <cell r="F105" t="str">
            <v>秋季</v>
          </cell>
          <cell r="G105" t="str">
            <v>咖啡色、浅杏色</v>
          </cell>
          <cell r="H105" t="str">
            <v/>
          </cell>
          <cell r="I105">
            <v>399</v>
          </cell>
          <cell r="J105" t="str">
            <v>田园-复古</v>
          </cell>
          <cell r="K105" t="str">
            <v>Q/HMFZ 4-2022</v>
          </cell>
          <cell r="L105" t="str">
            <v>面料：96.0%聚酯纤维 4.0%氨纶</v>
          </cell>
        </row>
        <row r="106">
          <cell r="A106">
            <v>18438082</v>
          </cell>
          <cell r="B106" t="str">
            <v>LY24Q363</v>
          </cell>
          <cell r="C106" t="str">
            <v>茵曼</v>
          </cell>
          <cell r="D106" t="str">
            <v>外套 上衣</v>
          </cell>
          <cell r="E106">
            <v>2024</v>
          </cell>
          <cell r="F106" t="str">
            <v>秋季</v>
          </cell>
          <cell r="G106" t="str">
            <v>粉色、鹅黄色、浅粉色、电光蓝、杏色、浅卡其</v>
          </cell>
          <cell r="H106" t="str">
            <v/>
          </cell>
          <cell r="I106">
            <v>459</v>
          </cell>
          <cell r="J106" t="str">
            <v>简约通勤</v>
          </cell>
          <cell r="K106" t="str">
            <v>Q/HMFZ 3-2024</v>
          </cell>
          <cell r="L106" t="str">
            <v>首单面料：100%聚酯纤维 里料：100%聚酯纤维
返单：面料：面层/底层：100%聚酯纤维 里料：100%聚酯纤维</v>
          </cell>
        </row>
        <row r="107">
          <cell r="A107">
            <v>18438059</v>
          </cell>
          <cell r="B107" t="str">
            <v>CYP24Q186</v>
          </cell>
          <cell r="C107" t="str">
            <v>茵曼</v>
          </cell>
          <cell r="D107" t="str">
            <v>衬衣</v>
          </cell>
          <cell r="E107">
            <v>2024</v>
          </cell>
          <cell r="F107" t="str">
            <v>秋季</v>
          </cell>
          <cell r="G107" t="str">
            <v>奶油杏、梨花黄、米白、蓝色、米白色</v>
          </cell>
          <cell r="H107" t="str">
            <v/>
          </cell>
          <cell r="I107">
            <v>269</v>
          </cell>
          <cell r="J107" t="str">
            <v>田园-法式</v>
          </cell>
          <cell r="K107" t="str">
            <v>Q/HMFZ 3-2024</v>
          </cell>
          <cell r="L107" t="str">
            <v>面料：100%棉（花边除外）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茵曼"/>
      <sheetName val="初语"/>
      <sheetName val="达人清单&amp;进度"/>
      <sheetName val="生活在左"/>
      <sheetName val="茵曼货表"/>
      <sheetName val="初语货表"/>
      <sheetName val="小茵曼童装"/>
      <sheetName val="初语货盘更新模板"/>
      <sheetName val="Sheet1"/>
    </sheetNames>
    <sheetDataSet>
      <sheetData sheetId="0"/>
      <sheetData sheetId="1"/>
      <sheetData sheetId="2"/>
      <sheetData sheetId="3"/>
      <sheetData sheetId="4">
        <row r="1">
          <cell r="B1" t="str">
            <v>图片</v>
          </cell>
        </row>
        <row r="2">
          <cell r="B2" t="str">
            <v>=DISPIMG("ID_E3C02D4A7FB5426EAA0DF9ACC1869B98",1)</v>
          </cell>
        </row>
        <row r="3">
          <cell r="B3" t="str">
            <v>=DISPIMG("ID_80026CD203BF4039B2584A0619B6E063",1)</v>
          </cell>
        </row>
        <row r="4">
          <cell r="B4" t="str">
            <v>=DISPIMG("ID_50103FE5FDEB4CE2A9ABE8C0EDE341A2",1)</v>
          </cell>
        </row>
        <row r="5">
          <cell r="B5" t="str">
            <v>=DISPIMG("ID_2D51C90157284ED8B14E6C4EAE78B419",1)</v>
          </cell>
        </row>
        <row r="6">
          <cell r="B6" t="str">
            <v>=DISPIMG("ID_AE82AF8955AE41D588D6676B20CE71FE",1)</v>
          </cell>
        </row>
        <row r="7">
          <cell r="B7" t="str">
            <v>=DISPIMG("ID_F3BA4BE2B8D84ABEBE3695B4ED735288",1)</v>
          </cell>
        </row>
        <row r="8">
          <cell r="B8" t="str">
            <v>=DISPIMG("ID_4ADA14C1770C4389A8F4B842E3BF1F30",1)</v>
          </cell>
        </row>
        <row r="9">
          <cell r="B9" t="str">
            <v>=DISPIMG("ID_0860C0BE951A4EB3998FE2F7B48CEC8C",1)</v>
          </cell>
        </row>
        <row r="10">
          <cell r="B10" t="str">
            <v>=DISPIMG("ID_585135714F1A44D9865352344C1989DD",1)</v>
          </cell>
        </row>
        <row r="11">
          <cell r="B11" t="str">
            <v>=DISPIMG("ID_084CDF4525FF48938529FFF2A271B115",1)</v>
          </cell>
        </row>
        <row r="12">
          <cell r="B12" t="str">
            <v>=DISPIMG("ID_6129230DD46F4C41AEF113B4A489DC01",1)</v>
          </cell>
        </row>
        <row r="13">
          <cell r="B13" t="str">
            <v>=DISPIMG("ID_EA9D638AD0894F32855FACF44A223CA1",1)</v>
          </cell>
        </row>
        <row r="14">
          <cell r="B14" t="str">
            <v>=DISPIMG("ID_F3C19AE31A6E4B4697BFCE5F32FB0DAD",1)</v>
          </cell>
        </row>
        <row r="15">
          <cell r="B15" t="str">
            <v>=DISPIMG("ID_004D4FDD20194D61AC19F8EA67CA1D13",1)</v>
          </cell>
        </row>
        <row r="16">
          <cell r="B16" t="str">
            <v>=DISPIMG("ID_462E84DFB4E9458688D1CB90943A399B",1)</v>
          </cell>
        </row>
        <row r="17">
          <cell r="B17" t="str">
            <v>=DISPIMG("ID_F5CDD3056C264C028692D5044D371D8F",1)</v>
          </cell>
        </row>
        <row r="18">
          <cell r="B18" t="str">
            <v>=DISPIMG("ID_8EC72803D3E245C794BA9951DF0AC2E6",1)</v>
          </cell>
        </row>
        <row r="19">
          <cell r="B19" t="str">
            <v>=DISPIMG("ID_186823D6DC7D41108D9C61BD1C864858",1)</v>
          </cell>
        </row>
        <row r="20">
          <cell r="B20" t="str">
            <v>=DISPIMG("ID_B6763CD51A04401BB1CB89D61E908554",1)</v>
          </cell>
        </row>
        <row r="21">
          <cell r="B21" t="str">
            <v>=DISPIMG("ID_C285FCFCA5E646BF944F998CB65FF219",1)</v>
          </cell>
        </row>
        <row r="22">
          <cell r="B22" t="str">
            <v>=DISPIMG("ID_996A9538B9114CF8B5092EFB7840402C",1)</v>
          </cell>
        </row>
        <row r="23">
          <cell r="B23" t="str">
            <v>=DISPIMG("ID_574FFE13F4EA4246B053B33F0960D571",1)</v>
          </cell>
        </row>
        <row r="24">
          <cell r="B24" t="str">
            <v>=DISPIMG("ID_329F254C637847FD90166123072F0BD6",1)</v>
          </cell>
        </row>
        <row r="25">
          <cell r="B25" t="str">
            <v>=DISPIMG("ID_F4906D26968241D3818D5DE7E865FAB0",1)</v>
          </cell>
        </row>
        <row r="26">
          <cell r="B26" t="str">
            <v>=DISPIMG("ID_3AA8E6C4E5314EC4B9E17295B5FFD01E",1)</v>
          </cell>
        </row>
        <row r="27">
          <cell r="B27" t="str">
            <v>=DISPIMG("ID_E039C23DEA0E4C2CAA4334077129F88D",1)</v>
          </cell>
        </row>
        <row r="28">
          <cell r="B28" t="str">
            <v>=DISPIMG("ID_66B2CE9148D44C2AB98B40C4A20EEB9B",1)</v>
          </cell>
        </row>
        <row r="29">
          <cell r="B29" t="str">
            <v>=DISPIMG("ID_41C41B7CC36742AFA3AE64839B13001A",1)</v>
          </cell>
        </row>
        <row r="30">
          <cell r="B30" t="str">
            <v>=DISPIMG("ID_D2922AAFBA8C4734844107530CADED07",1)</v>
          </cell>
        </row>
        <row r="31">
          <cell r="B31" t="str">
            <v>=DISPIMG("ID_E21C22DCD2E44296842C35ACEDDF8C9B",1)</v>
          </cell>
        </row>
        <row r="32">
          <cell r="B32" t="str">
            <v>=DISPIMG("ID_D83F0B4B7C1F4BEBADEAFEBA40DBCC2A",1)</v>
          </cell>
        </row>
        <row r="33">
          <cell r="B33" t="str">
            <v>=DISPIMG("ID_6579A82FCEC641FC9731FEF84D3A8D3D",1)</v>
          </cell>
        </row>
        <row r="34">
          <cell r="B34" t="str">
            <v>=DISPIMG("ID_B2F3BC5103E34D50812916AE192509DF",1)</v>
          </cell>
        </row>
        <row r="35">
          <cell r="B35" t="str">
            <v>=DISPIMG("ID_DBF744B3AA1C4E0CA3F58CC6BC5D2276",1)</v>
          </cell>
        </row>
        <row r="36">
          <cell r="B36" t="str">
            <v>=DISPIMG("ID_FAA43B00E4AF4901A539B18CACA367F6",1)</v>
          </cell>
        </row>
        <row r="37">
          <cell r="B37" t="str">
            <v>=DISPIMG("ID_6702B0F239264BDC87D7DA791A9FA288",1)</v>
          </cell>
        </row>
        <row r="38">
          <cell r="B38" t="str">
            <v>=DISPIMG("ID_575ACED5EE7B49178B6809A87B2B4470",1)</v>
          </cell>
        </row>
        <row r="39">
          <cell r="B39" t="str">
            <v>=DISPIMG("ID_6153D01D258C48DB9AC9C473C2E80DEB",1)</v>
          </cell>
        </row>
        <row r="40">
          <cell r="B40" t="str">
            <v>=DISPIMG("ID_5EDC45F87E5542699D4E5F1C4E9565B0",1)</v>
          </cell>
        </row>
        <row r="41">
          <cell r="B41" t="str">
            <v>=DISPIMG("ID_2916D7B996A043789D8981225746D4BA",1)</v>
          </cell>
        </row>
        <row r="42">
          <cell r="B42" t="str">
            <v>=DISPIMG("ID_D2B13CE959224B75BEEC98789B9A7939",1)</v>
          </cell>
        </row>
        <row r="43">
          <cell r="B43" t="str">
            <v>=DISPIMG("ID_E7F124DDC9744D95AF1DE5C1593C41DB",1)</v>
          </cell>
        </row>
        <row r="44">
          <cell r="B44" t="str">
            <v>=DISPIMG("ID_5A7451342A644608A4233BBC660A5429",1)</v>
          </cell>
        </row>
        <row r="45">
          <cell r="B45" t="str">
            <v>=DISPIMG("ID_092619C029844F348EF02F241CFCFB04",1)</v>
          </cell>
        </row>
        <row r="46">
          <cell r="B46" t="str">
            <v>=DISPIMG("ID_865242C7F7834838AF900DCB76ED6F42",1)</v>
          </cell>
        </row>
        <row r="47">
          <cell r="B47" t="str">
            <v>=DISPIMG("ID_D5CE4B62D4704A2A8C5A6589ED40AF2C",1)</v>
          </cell>
        </row>
        <row r="48">
          <cell r="B48" t="str">
            <v>=DISPIMG("ID_C8C5555B60EF477EBDDD968E5FDE402A",1)</v>
          </cell>
        </row>
        <row r="49">
          <cell r="B49" t="str">
            <v>=DISPIMG("ID_0F07E46998B34C96A5DF66A1075A21F9",1)</v>
          </cell>
        </row>
        <row r="50">
          <cell r="B50" t="str">
            <v>=DISPIMG("ID_C2282684003E4B6887D9EC57E6F235D7",1)</v>
          </cell>
        </row>
        <row r="51">
          <cell r="B51" t="str">
            <v>=DISPIMG("ID_980F46877FDC4E048B1DA2A4E7D39DE3",1)</v>
          </cell>
        </row>
        <row r="52">
          <cell r="B52" t="str">
            <v>=DISPIMG("ID_DFFAB57E4BE747099E8BAA0B66496614",1)</v>
          </cell>
        </row>
        <row r="53">
          <cell r="B53" t="str">
            <v>=DISPIMG("ID_0397DDEB69F545E68D1EF9A19372F74B",1)</v>
          </cell>
        </row>
        <row r="54">
          <cell r="B54" t="str">
            <v>=DISPIMG("ID_AABA78277531416FA8D06B41F74F5FD3",1)</v>
          </cell>
        </row>
        <row r="55">
          <cell r="B55" t="str">
            <v>=DISPIMG("ID_E9461A73D1C740AAAE0045617ECA28C7",1)</v>
          </cell>
        </row>
        <row r="56">
          <cell r="B56" t="str">
            <v>=DISPIMG("ID_B05AB73D04284BE9B9469774C33941FF",1)</v>
          </cell>
        </row>
        <row r="57">
          <cell r="B57" t="str">
            <v>=DISPIMG("ID_28746C6558354BF48DF292990C5354FF",1)</v>
          </cell>
        </row>
        <row r="58">
          <cell r="B58" t="str">
            <v>=DISPIMG("ID_B5DED39E769A450BA37AFC95193F84CC",1)</v>
          </cell>
        </row>
        <row r="59">
          <cell r="B59" t="str">
            <v>=DISPIMG("ID_4AA2140CC226481C8884EFDA819B1BF4",1)</v>
          </cell>
        </row>
        <row r="60">
          <cell r="B60" t="str">
            <v>=DISPIMG("ID_292CB06793B94E1D921D8013AFFFB1AB",1)</v>
          </cell>
        </row>
        <row r="61">
          <cell r="B61" t="str">
            <v>=DISPIMG("ID_7829C89FD4FF439DA4952DCA04DD69F4",1)</v>
          </cell>
        </row>
        <row r="62">
          <cell r="B62" t="str">
            <v>=DISPIMG("ID_56AF958E413A40CA8803D2551CBFF99B",1)</v>
          </cell>
        </row>
        <row r="63">
          <cell r="B63" t="str">
            <v>=DISPIMG("ID_D591D3EA46204C0CBD238C62585FDC47",1)</v>
          </cell>
        </row>
        <row r="64">
          <cell r="B64" t="str">
            <v>=DISPIMG("ID_77D8CEDC89174E22A37893E31E6B6A7E",1)</v>
          </cell>
        </row>
        <row r="65">
          <cell r="B65" t="str">
            <v>=DISPIMG("ID_87337CCCEC8C467E87DF1F1366317723",1)</v>
          </cell>
        </row>
        <row r="66">
          <cell r="B66" t="str">
            <v>=DISPIMG("ID_585B83DC312D4E059D708E23181C0321",1)</v>
          </cell>
        </row>
        <row r="67">
          <cell r="B67" t="str">
            <v>=DISPIMG("ID_F81DF0B5DDF8447B9E341BB87A39A3DF",1)</v>
          </cell>
        </row>
        <row r="68">
          <cell r="B68" t="str">
            <v>=DISPIMG("ID_992DF4C071AA402BBD70DD5297B3C986",1)</v>
          </cell>
        </row>
        <row r="69">
          <cell r="B69" t="str">
            <v>=DISPIMG("ID_0018618F737143B7A3F294F54A282442",1)</v>
          </cell>
        </row>
        <row r="70">
          <cell r="B70" t="str">
            <v>=DISPIMG("ID_971F171994784418A4A3A23513DA24C7",1)</v>
          </cell>
        </row>
        <row r="71">
          <cell r="B71" t="str">
            <v>=DISPIMG("ID_568645E97F804565B9861204533BA017",1)</v>
          </cell>
        </row>
        <row r="72">
          <cell r="B72" t="str">
            <v>=DISPIMG("ID_079487BFC748458C8BBC61FA113A1DCD",1)</v>
          </cell>
        </row>
        <row r="73">
          <cell r="B73" t="str">
            <v>=DISPIMG("ID_F949B82BD027428FA49693006F1A4EAF",1)</v>
          </cell>
        </row>
        <row r="74">
          <cell r="B74" t="str">
            <v>=DISPIMG("ID_5090B95A766D44AE8F365FE74D48DB2E",1)</v>
          </cell>
        </row>
        <row r="75">
          <cell r="B75" t="str">
            <v>=DISPIMG("ID_CCCC201D265849AAA87E3B2C6F298E90",1)</v>
          </cell>
        </row>
        <row r="76">
          <cell r="B76" t="str">
            <v>=DISPIMG("ID_2F344C4B6DF04009ADFF4235365B88C4",1)</v>
          </cell>
        </row>
        <row r="77">
          <cell r="B77" t="str">
            <v>=DISPIMG("ID_DE104B79FF2F44A5B201AD115BFAC415",1)</v>
          </cell>
        </row>
        <row r="78">
          <cell r="B78" t="str">
            <v>=DISPIMG("ID_2550207C708F423BBA4529337227FA2F",1)</v>
          </cell>
        </row>
        <row r="79">
          <cell r="B79" t="str">
            <v>=DISPIMG("ID_1C4DCD8404634C00BCA5D60403CC3195",1)</v>
          </cell>
        </row>
        <row r="80">
          <cell r="B80" t="str">
            <v>=DISPIMG("ID_424FDC081D424486BDC4E0B98D6BCF46",1)</v>
          </cell>
        </row>
        <row r="81">
          <cell r="B81" t="str">
            <v>=DISPIMG("ID_FA479453223E42EEB1D84E8656608BD4",1)</v>
          </cell>
        </row>
        <row r="82">
          <cell r="B82" t="str">
            <v>=DISPIMG("ID_89B94EC6D3064B9DA00C24FF2A9CF894",1)</v>
          </cell>
        </row>
        <row r="83">
          <cell r="B83" t="str">
            <v>=DISPIMG("ID_083A7BAA26CC4DEA87055933CBA4AE7E",1)</v>
          </cell>
        </row>
        <row r="84">
          <cell r="B84" t="str">
            <v>=DISPIMG("ID_ABB03067EE944AFE833ABDE30A19936E",1)</v>
          </cell>
        </row>
        <row r="85">
          <cell r="B85" t="str">
            <v>=DISPIMG("ID_5CFF5E658DA347D6B314FE8357991961",1)</v>
          </cell>
        </row>
        <row r="86">
          <cell r="B86" t="str">
            <v>=DISPIMG("ID_B8B776E79F2346DE87C79EFD8264863D",1)</v>
          </cell>
        </row>
        <row r="87">
          <cell r="B87" t="str">
            <v>=DISPIMG("ID_DB9946891DA6407C9686DB71090D1662",1)</v>
          </cell>
        </row>
        <row r="88">
          <cell r="B88" t="str">
            <v>=DISPIMG("ID_A0B6FC3DD0254A6284515AF7DFEBA858",1)</v>
          </cell>
        </row>
        <row r="89">
          <cell r="B89" t="str">
            <v>=DISPIMG("ID_85CD90B993384313B236EE699E9C30E8",1)</v>
          </cell>
        </row>
        <row r="90">
          <cell r="B90" t="str">
            <v>=DISPIMG("ID_4C52200D97154726B063D6396663DB15",1)</v>
          </cell>
        </row>
        <row r="91">
          <cell r="B91" t="str">
            <v>=DISPIMG("ID_113CFA2B88474448A6CBB30D3E111736",1)</v>
          </cell>
        </row>
        <row r="92">
          <cell r="B92" t="str">
            <v>=DISPIMG("ID_B88D4BE033714941B341FE587516A703",1)</v>
          </cell>
        </row>
        <row r="93">
          <cell r="B93" t="str">
            <v>=DISPIMG("ID_AEBE703854D14D048379157F7D2ED70E",1)</v>
          </cell>
        </row>
        <row r="94">
          <cell r="B94" t="str">
            <v>=DISPIMG("ID_6BF91A2E1BEF4D73A6F6435BB3557443",1)</v>
          </cell>
        </row>
        <row r="95">
          <cell r="B95" t="str">
            <v>=DISPIMG("ID_5E255EBB10594F3C84A560C1D79C8F7C",1)</v>
          </cell>
        </row>
        <row r="96">
          <cell r="B96" t="str">
            <v>=DISPIMG("ID_BACD0C53E5A04D21A1161451F412A316",1)</v>
          </cell>
        </row>
        <row r="97">
          <cell r="B97" t="str">
            <v>=DISPIMG("ID_77AAE11D92494DE59AD7DDE07847C6FD",1)</v>
          </cell>
        </row>
        <row r="98">
          <cell r="B98" t="str">
            <v>=DISPIMG("ID_8D16B29B66294A7C81D573124222B4DA",1)</v>
          </cell>
        </row>
        <row r="99">
          <cell r="B99" t="str">
            <v>=DISPIMG("ID_0DC697D29DAA42AF8FAEBDF3A2AC93B1",1)</v>
          </cell>
        </row>
        <row r="100">
          <cell r="B100" t="str">
            <v>=DISPIMG("ID_74430E812F23456D96D499FD085B893A",1)</v>
          </cell>
        </row>
        <row r="101">
          <cell r="B101" t="str">
            <v>=DISPIMG("ID_334749C3172A40A797E0DE694EF5B36D",1)</v>
          </cell>
        </row>
        <row r="102">
          <cell r="B102" t="str">
            <v>=DISPIMG("ID_89923F414C2B4CB79EE36B1CE2EBF612",1)</v>
          </cell>
        </row>
        <row r="103">
          <cell r="B103" t="str">
            <v>=DISPIMG("ID_10112B9546974B689693E49DB667061F",1)</v>
          </cell>
        </row>
        <row r="104">
          <cell r="B104" t="str">
            <v>=DISPIMG("ID_1D57711C6AD244CCAE4F3AD73611882D",1)</v>
          </cell>
        </row>
        <row r="105">
          <cell r="B105" t="str">
            <v>=DISPIMG("ID_F5EF5F878F4C46A0B47694A0AB4574FE",1)</v>
          </cell>
        </row>
        <row r="106">
          <cell r="B106" t="str">
            <v>=DISPIMG("ID_F3CE44A4266F4FC782C63EB2C61A845C",1)</v>
          </cell>
        </row>
        <row r="107">
          <cell r="B107" t="str">
            <v>=DISPIMG("ID_24265B08E7A447BF911A401826620AA1",1)</v>
          </cell>
        </row>
        <row r="108">
          <cell r="B108" t="str">
            <v>=DISPIMG("ID_2FBAFCF51A64456BBED69AC632B44AD8",1)</v>
          </cell>
        </row>
        <row r="109">
          <cell r="B109" t="str">
            <v>=DISPIMG("ID_BB63C7CE995F405E8612162AD83FD6BD",1)</v>
          </cell>
        </row>
        <row r="110">
          <cell r="B110" t="str">
            <v>=DISPIMG("ID_DC25D2A86CDF497E9C312BF28406A95B",1)</v>
          </cell>
        </row>
        <row r="111">
          <cell r="B111" t="str">
            <v>=DISPIMG("ID_5F6968CA224749DEB104FEBE804133C6",1)</v>
          </cell>
        </row>
        <row r="112">
          <cell r="B112" t="str">
            <v>=DISPIMG("ID_698BF71981DC4A489132452D1C095349",1)</v>
          </cell>
        </row>
        <row r="113">
          <cell r="B113" t="str">
            <v>=DISPIMG("ID_466881D2EAD54CBD9F30C2E8FD82B123",1)</v>
          </cell>
        </row>
        <row r="114">
          <cell r="B114" t="str">
            <v>=DISPIMG("ID_865C2136762C4496B8EF86D59E889152",1)</v>
          </cell>
        </row>
        <row r="115">
          <cell r="B115" t="str">
            <v>=DISPIMG("ID_F74180972E694D0EAA7589BBC4FF8B5C",1)</v>
          </cell>
        </row>
        <row r="116">
          <cell r="B116" t="str">
            <v>=DISPIMG("ID_BF436C43C85A4A33A9923982EB7CEE43",1)</v>
          </cell>
        </row>
        <row r="117">
          <cell r="B117" t="str">
            <v>=DISPIMG("ID_944592F1FD3540D18B538FA33A19D6D3",1)</v>
          </cell>
        </row>
        <row r="118">
          <cell r="B118" t="str">
            <v>=DISPIMG("ID_4608B25B053F401F94B8C47BF5356EB8",1)</v>
          </cell>
        </row>
        <row r="119">
          <cell r="B119" t="str">
            <v>=DISPIMG("ID_CE5F01BC122C41C5B04834AE430B4FFE",1)</v>
          </cell>
        </row>
        <row r="120">
          <cell r="B120" t="str">
            <v>=DISPIMG("ID_772E8325FDBA46928EC65139BF9AB622",1)</v>
          </cell>
        </row>
        <row r="121">
          <cell r="B121" t="str">
            <v>=DISPIMG("ID_379AE5503DB74189AC4747DD21F3BCFE",1)</v>
          </cell>
        </row>
        <row r="122">
          <cell r="B122" t="str">
            <v>=DISPIMG("ID_73BF2617780845EA980D8597B807ABD6",1)</v>
          </cell>
        </row>
        <row r="123">
          <cell r="B123" t="str">
            <v>=DISPIMG("ID_A6CE92A718484BC89EE4C570ACE6BD64",1)</v>
          </cell>
        </row>
        <row r="124">
          <cell r="B124" t="str">
            <v>=DISPIMG("ID_BDEA672DC1C44B6C927B6A33B175ED01",1)</v>
          </cell>
        </row>
        <row r="125">
          <cell r="B125" t="str">
            <v>=DISPIMG("ID_A4C26387B455452B8CAD05AED8C5D3DE",1)</v>
          </cell>
        </row>
        <row r="126">
          <cell r="B126" t="str">
            <v>=DISPIMG("ID_27EE2A5DF4BC435EA7BD7BB723DE95D3",1)</v>
          </cell>
        </row>
        <row r="127">
          <cell r="B127" t="str">
            <v>=DISPIMG("ID_C35CFACB3E3247C68FA7F8E2674F9CEA",1)</v>
          </cell>
        </row>
        <row r="128">
          <cell r="B128" t="str">
            <v>=DISPIMG("ID_4B67562FC827467690331FC67AA92FBA",1)</v>
          </cell>
        </row>
        <row r="129">
          <cell r="B129" t="str">
            <v>=DISPIMG("ID_BA9D49DDF92B4AF381BD31CC12126823",1)</v>
          </cell>
        </row>
        <row r="130">
          <cell r="B130" t="str">
            <v>=DISPIMG("ID_F1E5F72B94BB4F03930A68A67F96CB8D",1)</v>
          </cell>
        </row>
        <row r="131">
          <cell r="B131" t="str">
            <v>=DISPIMG("ID_530B64EC19EF45F7BAF8B36000A6E43B",1)</v>
          </cell>
        </row>
        <row r="132">
          <cell r="B132" t="str">
            <v>=DISPIMG("ID_1CB12D21661D4AE2828A7CA3E022B6FD",1)</v>
          </cell>
        </row>
        <row r="133">
          <cell r="B133" t="str">
            <v>=DISPIMG("ID_FBA5B93D4C70440C9F9D9A564D8992F6",1)</v>
          </cell>
        </row>
        <row r="134">
          <cell r="B134" t="str">
            <v>=DISPIMG("ID_D790114FC41240AFA51DA9C9A4F155E5",1)</v>
          </cell>
        </row>
        <row r="135">
          <cell r="B135" t="str">
            <v>=DISPIMG("ID_95278AF2099E462A997542E0098989BE",1)</v>
          </cell>
        </row>
        <row r="136">
          <cell r="B136" t="str">
            <v>=DISPIMG("ID_73E4B98CEC134C38924E04D996C13F08",1)</v>
          </cell>
        </row>
        <row r="137">
          <cell r="B137" t="str">
            <v>=DISPIMG("ID_3A4C4C4DB8BD44FA9CC632E4023A41B4",1)</v>
          </cell>
        </row>
        <row r="138">
          <cell r="B138" t="str">
            <v>=DISPIMG("ID_33FBE57EE0B843DF81434B41186B0387",1)</v>
          </cell>
        </row>
        <row r="139">
          <cell r="B139" t="str">
            <v>=DISPIMG("ID_D14F91151D63419CB75F8317973CB1C2",1)</v>
          </cell>
        </row>
        <row r="140">
          <cell r="B140" t="str">
            <v>=DISPIMG("ID_5DD3F1E1460C49BE91E97F7D0404A35E",1)</v>
          </cell>
        </row>
        <row r="141">
          <cell r="B141" t="str">
            <v>=DISPIMG("ID_4245DB417BD04C2BB9939337DCB7188B",1)</v>
          </cell>
        </row>
        <row r="142">
          <cell r="B142" t="str">
            <v>=DISPIMG("ID_C22B76018EBC4B61ABDCCF05C0D9A34F",1)</v>
          </cell>
        </row>
        <row r="143">
          <cell r="B143" t="str">
            <v>=DISPIMG("ID_1722AE96C91647538D39BF098766C5E4",1)</v>
          </cell>
        </row>
        <row r="144">
          <cell r="B144" t="str">
            <v>=DISPIMG("ID_A492813E74E24132A71473A9E22AD523",1)</v>
          </cell>
        </row>
        <row r="145">
          <cell r="B145" t="str">
            <v>=DISPIMG("ID_A979F27BA2604C7C92CAB61803531CFA",1)</v>
          </cell>
        </row>
        <row r="146">
          <cell r="B146" t="str">
            <v>=DISPIMG("ID_410B4DA5BC3A471E9FA5F18C19A39EB5",1)</v>
          </cell>
        </row>
        <row r="147">
          <cell r="B147" t="str">
            <v>=DISPIMG("ID_2F13ADEDBBA241CC906368B203D7DE80",1)</v>
          </cell>
        </row>
        <row r="148">
          <cell r="B148" t="str">
            <v>=DISPIMG("ID_6D3067B891F2475F98EAD7314A1BEA4D",1)</v>
          </cell>
        </row>
        <row r="149">
          <cell r="B149" t="str">
            <v>=DISPIMG("ID_A37DDA0912E14BC1A838EAB03A8B292B",1)</v>
          </cell>
        </row>
        <row r="150">
          <cell r="B150" t="str">
            <v>=DISPIMG("ID_EA2EF33CBE6A44F38B254C1E53EAC913",1)</v>
          </cell>
        </row>
        <row r="151">
          <cell r="B151" t="str">
            <v>=DISPIMG("ID_6464951AB43649A9BF0D318B640A0515",1)</v>
          </cell>
        </row>
        <row r="152">
          <cell r="B152" t="str">
            <v>=DISPIMG("ID_471D0699F64A428097298C0333FAAE3A",1)</v>
          </cell>
        </row>
        <row r="153">
          <cell r="B153" t="str">
            <v>=DISPIMG("ID_AB2D2CF865904CBEBBD67269546D8073",1)</v>
          </cell>
        </row>
        <row r="154">
          <cell r="B154" t="str">
            <v>=DISPIMG("ID_2108C63C941544CEB5F786A07BA54008",1)</v>
          </cell>
        </row>
        <row r="155">
          <cell r="B155" t="str">
            <v>=DISPIMG("ID_A07377576F9F4662A3049CCBE05E7C3D",1)</v>
          </cell>
        </row>
        <row r="156">
          <cell r="B156" t="str">
            <v>=DISPIMG("ID_C1932BA2F7454507ADF3E567453A149D",1)</v>
          </cell>
        </row>
        <row r="157">
          <cell r="B157" t="str">
            <v>=DISPIMG("ID_55E1A1C1BFF847FD9CD3F55903693719",1)</v>
          </cell>
        </row>
        <row r="158">
          <cell r="B158" t="str">
            <v>=DISPIMG("ID_C1D09567FA004DB8AA4159FCA5AC852B",1)</v>
          </cell>
        </row>
        <row r="159">
          <cell r="B159" t="str">
            <v>=DISPIMG("ID_E4AB7368E3C1493FA42BCAA50131E97A",1)</v>
          </cell>
        </row>
        <row r="160">
          <cell r="B160" t="str">
            <v>=DISPIMG("ID_A84A8F1F77714EE98A7F48565643EEFB",1)</v>
          </cell>
        </row>
        <row r="161">
          <cell r="B161" t="str">
            <v>=DISPIMG("ID_A77DB8F5DFB24C51BC8845C723EC8F00",1)</v>
          </cell>
        </row>
        <row r="162">
          <cell r="B162" t="str">
            <v>=DISPIMG("ID_9AC8DEC861FE412C95CFE7BE7A4CE866",1)</v>
          </cell>
        </row>
        <row r="163">
          <cell r="B163" t="str">
            <v>=DISPIMG("ID_23FBDE5E5A814CA7A215ED21DE11F2BC",1)</v>
          </cell>
        </row>
        <row r="164">
          <cell r="B164" t="str">
            <v>=DISPIMG("ID_1C21D3804FA04BBEBCB7B6859712D739",1)</v>
          </cell>
        </row>
        <row r="165">
          <cell r="B165" t="str">
            <v>=DISPIMG("ID_0DA2EC778DF94103B5EE6F25A90272B3",1)</v>
          </cell>
        </row>
        <row r="166">
          <cell r="B166" t="str">
            <v>=DISPIMG("ID_64A9A1C4EE1A44D49237B36BEE53CBBC",1)</v>
          </cell>
        </row>
        <row r="167">
          <cell r="B167" t="str">
            <v>=DISPIMG("ID_9AA8AACC8B374E53967E73A53F959A5A",1)</v>
          </cell>
        </row>
        <row r="168">
          <cell r="B168" t="str">
            <v>=DISPIMG("ID_3A92DE49F68B41FB92BD2FFDB8D4C8B0",1)</v>
          </cell>
        </row>
        <row r="169">
          <cell r="B169" t="str">
            <v>=DISPIMG("ID_EAE76A59BF1D4091850CAE551D1940DE",1)</v>
          </cell>
        </row>
        <row r="170">
          <cell r="B170" t="str">
            <v>=DISPIMG("ID_8AD2E8BAA5D448EEB36BE14EDB6422DE",1)</v>
          </cell>
        </row>
        <row r="171">
          <cell r="B171" t="str">
            <v>=DISPIMG("ID_EFA9940FA70A4380B8BEE86A97713364",1)</v>
          </cell>
        </row>
        <row r="172">
          <cell r="B172" t="str">
            <v>=DISPIMG("ID_E15846B7276E4809B7684BF4BDC4D67D",1)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初语库存"/>
      <sheetName val="初语库存数据源"/>
      <sheetName val="茵曼库存"/>
      <sheetName val="茵曼库存数据源"/>
    </sheetNames>
    <sheetDataSet>
      <sheetData sheetId="0"/>
      <sheetData sheetId="1"/>
      <sheetData sheetId="2">
        <row r="1">
          <cell r="A1" t="str">
            <v>款号</v>
          </cell>
        </row>
        <row r="2">
          <cell r="A2">
            <v>28628324</v>
          </cell>
        </row>
        <row r="3">
          <cell r="A3">
            <v>18625120</v>
          </cell>
        </row>
        <row r="4">
          <cell r="A4" t="str">
            <v>18525140H1</v>
          </cell>
        </row>
        <row r="5">
          <cell r="A5" t="str">
            <v>F18627944</v>
          </cell>
        </row>
        <row r="6">
          <cell r="A6" t="str">
            <v>W18618743</v>
          </cell>
        </row>
        <row r="7">
          <cell r="A7">
            <v>18528632</v>
          </cell>
        </row>
        <row r="8">
          <cell r="A8" t="str">
            <v>W18525322</v>
          </cell>
        </row>
        <row r="9">
          <cell r="A9">
            <v>18424047</v>
          </cell>
        </row>
        <row r="10">
          <cell r="A10" t="str">
            <v>W18528689</v>
          </cell>
        </row>
        <row r="11">
          <cell r="A11" t="str">
            <v>D18628693</v>
          </cell>
        </row>
        <row r="12">
          <cell r="A12" t="str">
            <v>D18628827</v>
          </cell>
        </row>
        <row r="13">
          <cell r="A13" t="str">
            <v>D18628603</v>
          </cell>
        </row>
        <row r="14">
          <cell r="A14" t="str">
            <v>D18628867</v>
          </cell>
        </row>
        <row r="15">
          <cell r="A15" t="str">
            <v>D18628519</v>
          </cell>
        </row>
        <row r="16">
          <cell r="A16" t="str">
            <v>D18618792</v>
          </cell>
        </row>
        <row r="17">
          <cell r="A17" t="str">
            <v>D18628829</v>
          </cell>
        </row>
        <row r="18">
          <cell r="A18">
            <v>1863001</v>
          </cell>
        </row>
        <row r="19">
          <cell r="A19">
            <v>18637120</v>
          </cell>
        </row>
        <row r="20">
          <cell r="A20" t="str">
            <v>W18637061</v>
          </cell>
        </row>
        <row r="21">
          <cell r="A21">
            <v>18637207</v>
          </cell>
        </row>
        <row r="22">
          <cell r="A22" t="str">
            <v>W18538192</v>
          </cell>
        </row>
        <row r="23">
          <cell r="A23">
            <v>18627629</v>
          </cell>
        </row>
        <row r="24">
          <cell r="A24">
            <v>18322228</v>
          </cell>
        </row>
        <row r="25">
          <cell r="A25">
            <v>18424138</v>
          </cell>
        </row>
        <row r="26">
          <cell r="A26">
            <v>18627948</v>
          </cell>
        </row>
        <row r="27">
          <cell r="A27">
            <v>18424160</v>
          </cell>
        </row>
        <row r="28">
          <cell r="A28">
            <v>18438094</v>
          </cell>
        </row>
        <row r="29">
          <cell r="A29">
            <v>18637636</v>
          </cell>
        </row>
        <row r="30">
          <cell r="A30">
            <v>18637052</v>
          </cell>
        </row>
        <row r="31">
          <cell r="A31">
            <v>18637538</v>
          </cell>
        </row>
        <row r="32">
          <cell r="A32">
            <v>18637466</v>
          </cell>
        </row>
        <row r="33">
          <cell r="A33">
            <v>18637480</v>
          </cell>
        </row>
        <row r="34">
          <cell r="A34">
            <v>18637053</v>
          </cell>
        </row>
        <row r="35">
          <cell r="A35" t="str">
            <v>K18637810</v>
          </cell>
        </row>
        <row r="36">
          <cell r="A36" t="str">
            <v>W18637136</v>
          </cell>
        </row>
        <row r="37">
          <cell r="A37">
            <v>18637010</v>
          </cell>
        </row>
        <row r="38">
          <cell r="A38" t="str">
            <v>K18637369</v>
          </cell>
        </row>
        <row r="39">
          <cell r="A39" t="str">
            <v>W18518278</v>
          </cell>
        </row>
        <row r="40">
          <cell r="A40">
            <v>18618116</v>
          </cell>
        </row>
        <row r="41">
          <cell r="A41">
            <v>18625006</v>
          </cell>
        </row>
        <row r="42">
          <cell r="A42">
            <v>18538564</v>
          </cell>
        </row>
        <row r="43">
          <cell r="A43">
            <v>18637078</v>
          </cell>
        </row>
        <row r="44">
          <cell r="A44" t="str">
            <v>18518163H2</v>
          </cell>
        </row>
        <row r="45">
          <cell r="A45">
            <v>18637648</v>
          </cell>
        </row>
        <row r="46">
          <cell r="A46">
            <v>18637269</v>
          </cell>
        </row>
        <row r="47">
          <cell r="A47">
            <v>18637580</v>
          </cell>
        </row>
        <row r="48">
          <cell r="A48">
            <v>18637184</v>
          </cell>
        </row>
        <row r="49">
          <cell r="A49">
            <v>18637068</v>
          </cell>
        </row>
        <row r="50">
          <cell r="A50">
            <v>18538094</v>
          </cell>
        </row>
        <row r="51">
          <cell r="A51" t="str">
            <v>K18637469</v>
          </cell>
        </row>
        <row r="52">
          <cell r="A52">
            <v>18518171</v>
          </cell>
        </row>
        <row r="53">
          <cell r="A53">
            <v>18637117</v>
          </cell>
        </row>
        <row r="54">
          <cell r="A54">
            <v>18637123</v>
          </cell>
        </row>
        <row r="55">
          <cell r="A55">
            <v>18637280</v>
          </cell>
        </row>
        <row r="56">
          <cell r="A56">
            <v>18637090</v>
          </cell>
        </row>
        <row r="57">
          <cell r="A57">
            <v>18637468</v>
          </cell>
        </row>
        <row r="58">
          <cell r="A58">
            <v>18438082</v>
          </cell>
        </row>
        <row r="59">
          <cell r="A59">
            <v>18332179</v>
          </cell>
        </row>
        <row r="60">
          <cell r="A60">
            <v>18637470</v>
          </cell>
        </row>
        <row r="61">
          <cell r="A61">
            <v>18637254</v>
          </cell>
        </row>
        <row r="62">
          <cell r="A62">
            <v>18637359</v>
          </cell>
        </row>
        <row r="63">
          <cell r="A63" t="str">
            <v>W18637065</v>
          </cell>
        </row>
        <row r="64">
          <cell r="A64">
            <v>18637241</v>
          </cell>
        </row>
        <row r="65">
          <cell r="A65">
            <v>18637350</v>
          </cell>
        </row>
        <row r="66">
          <cell r="A66">
            <v>18637321</v>
          </cell>
        </row>
        <row r="67">
          <cell r="A67">
            <v>18637126</v>
          </cell>
        </row>
        <row r="68">
          <cell r="A68">
            <v>18637277</v>
          </cell>
        </row>
        <row r="69">
          <cell r="A69">
            <v>18637271</v>
          </cell>
        </row>
        <row r="70">
          <cell r="A70" t="str">
            <v>Z18538288</v>
          </cell>
        </row>
        <row r="71">
          <cell r="A71" t="str">
            <v>Z18627742</v>
          </cell>
        </row>
        <row r="72">
          <cell r="A72" t="str">
            <v>Z18332455H1</v>
          </cell>
        </row>
        <row r="73">
          <cell r="A73" t="str">
            <v>Z18528694H1</v>
          </cell>
        </row>
        <row r="74">
          <cell r="A74" t="str">
            <v>Z18425184</v>
          </cell>
        </row>
        <row r="75">
          <cell r="A75" t="str">
            <v>Z18618656</v>
          </cell>
        </row>
        <row r="76">
          <cell r="A76" t="str">
            <v>Z18618807</v>
          </cell>
        </row>
        <row r="77">
          <cell r="A77">
            <v>18538162</v>
          </cell>
        </row>
        <row r="78">
          <cell r="A78">
            <v>18637753</v>
          </cell>
        </row>
        <row r="79">
          <cell r="A79">
            <v>18637311</v>
          </cell>
        </row>
        <row r="80">
          <cell r="A80">
            <v>18637658</v>
          </cell>
        </row>
        <row r="81">
          <cell r="A81" t="str">
            <v>W18518060</v>
          </cell>
        </row>
        <row r="82">
          <cell r="A82">
            <v>18625668</v>
          </cell>
        </row>
        <row r="83">
          <cell r="A83" t="str">
            <v>W18625611</v>
          </cell>
        </row>
        <row r="84">
          <cell r="A84" t="str">
            <v>W18625244</v>
          </cell>
        </row>
        <row r="85">
          <cell r="A85" t="str">
            <v>W18525387</v>
          </cell>
        </row>
        <row r="86">
          <cell r="A86" t="str">
            <v>D18628804</v>
          </cell>
        </row>
        <row r="87">
          <cell r="A87" t="str">
            <v>D18628886</v>
          </cell>
        </row>
        <row r="88">
          <cell r="A88" t="str">
            <v>D18628706</v>
          </cell>
        </row>
        <row r="89">
          <cell r="A89" t="str">
            <v>W18627148</v>
          </cell>
        </row>
        <row r="90">
          <cell r="A90" t="str">
            <v>W18618339</v>
          </cell>
        </row>
        <row r="91">
          <cell r="A91" t="str">
            <v>W18618299</v>
          </cell>
        </row>
        <row r="92">
          <cell r="A92" t="str">
            <v>D18628724</v>
          </cell>
        </row>
        <row r="93">
          <cell r="A93">
            <v>18525625</v>
          </cell>
        </row>
        <row r="94">
          <cell r="A94" t="str">
            <v>D18628484</v>
          </cell>
        </row>
        <row r="95">
          <cell r="A95" t="str">
            <v>D18628893</v>
          </cell>
        </row>
        <row r="96">
          <cell r="A96">
            <v>18518151</v>
          </cell>
        </row>
        <row r="97">
          <cell r="A97" t="str">
            <v>F18528168</v>
          </cell>
        </row>
        <row r="98">
          <cell r="A98" t="str">
            <v>D18628710</v>
          </cell>
        </row>
        <row r="99">
          <cell r="A99" t="str">
            <v>D18628760</v>
          </cell>
        </row>
        <row r="100">
          <cell r="A100" t="str">
            <v>W18625113</v>
          </cell>
        </row>
        <row r="101">
          <cell r="A101" t="str">
            <v>F18627612</v>
          </cell>
        </row>
        <row r="102">
          <cell r="A102">
            <v>18625098</v>
          </cell>
        </row>
        <row r="103">
          <cell r="A103">
            <v>18625594</v>
          </cell>
        </row>
        <row r="104">
          <cell r="A104">
            <v>18625452</v>
          </cell>
        </row>
        <row r="105">
          <cell r="A105" t="str">
            <v>D18628806</v>
          </cell>
        </row>
        <row r="106">
          <cell r="A106">
            <v>18627766</v>
          </cell>
        </row>
        <row r="107">
          <cell r="A107" t="str">
            <v>F18528119H1</v>
          </cell>
        </row>
        <row r="108">
          <cell r="A108">
            <v>18625033</v>
          </cell>
        </row>
        <row r="109">
          <cell r="A109">
            <v>18628332</v>
          </cell>
        </row>
        <row r="110">
          <cell r="A110" t="str">
            <v>D18628855</v>
          </cell>
        </row>
        <row r="111">
          <cell r="A111" t="str">
            <v>K18529055H1</v>
          </cell>
        </row>
        <row r="112">
          <cell r="A112" t="str">
            <v>F18525494</v>
          </cell>
        </row>
        <row r="113">
          <cell r="A113">
            <v>18528431</v>
          </cell>
        </row>
        <row r="114">
          <cell r="A114">
            <v>18625438</v>
          </cell>
        </row>
        <row r="115">
          <cell r="A115" t="str">
            <v>W18625456</v>
          </cell>
        </row>
        <row r="116">
          <cell r="A116">
            <v>18225312</v>
          </cell>
        </row>
        <row r="117">
          <cell r="A117">
            <v>18627545</v>
          </cell>
        </row>
        <row r="118">
          <cell r="A118">
            <v>18525774</v>
          </cell>
        </row>
        <row r="119">
          <cell r="A119">
            <v>18625598</v>
          </cell>
        </row>
        <row r="120">
          <cell r="A120">
            <v>18625548</v>
          </cell>
        </row>
        <row r="121">
          <cell r="A121">
            <v>18625550</v>
          </cell>
        </row>
        <row r="122">
          <cell r="A122" t="str">
            <v>F18628201</v>
          </cell>
        </row>
        <row r="123">
          <cell r="A123">
            <v>28628695</v>
          </cell>
        </row>
        <row r="124">
          <cell r="A124" t="str">
            <v>F18525419</v>
          </cell>
        </row>
        <row r="125">
          <cell r="A125">
            <v>18625399</v>
          </cell>
        </row>
        <row r="126">
          <cell r="A126" t="str">
            <v>D18628050</v>
          </cell>
        </row>
        <row r="127">
          <cell r="A127" t="str">
            <v>D18628786</v>
          </cell>
        </row>
        <row r="128">
          <cell r="A128" t="str">
            <v>D18627970</v>
          </cell>
        </row>
        <row r="129">
          <cell r="A129" t="str">
            <v>D18628826</v>
          </cell>
        </row>
        <row r="130">
          <cell r="A130" t="str">
            <v>W18625528</v>
          </cell>
        </row>
        <row r="131">
          <cell r="A131" t="str">
            <v>D18528153</v>
          </cell>
        </row>
        <row r="132">
          <cell r="A132">
            <v>18518172</v>
          </cell>
        </row>
        <row r="133">
          <cell r="A133">
            <v>18637605</v>
          </cell>
        </row>
        <row r="134">
          <cell r="A134">
            <v>18637208</v>
          </cell>
        </row>
        <row r="135">
          <cell r="A135">
            <v>18637183</v>
          </cell>
        </row>
        <row r="136">
          <cell r="A136">
            <v>18637091</v>
          </cell>
        </row>
        <row r="137">
          <cell r="A137" t="str">
            <v>W18637334</v>
          </cell>
        </row>
        <row r="138">
          <cell r="A138" t="str">
            <v>W18625449</v>
          </cell>
        </row>
        <row r="139">
          <cell r="A139" t="str">
            <v>W18625462</v>
          </cell>
        </row>
        <row r="140">
          <cell r="A140">
            <v>18538624</v>
          </cell>
        </row>
        <row r="141">
          <cell r="A141">
            <v>18637635</v>
          </cell>
        </row>
        <row r="142">
          <cell r="A142">
            <v>18438189</v>
          </cell>
        </row>
        <row r="143">
          <cell r="A143">
            <v>18637577</v>
          </cell>
        </row>
        <row r="144">
          <cell r="A144">
            <v>18637199</v>
          </cell>
        </row>
        <row r="145">
          <cell r="A145">
            <v>18637034</v>
          </cell>
        </row>
        <row r="146">
          <cell r="A146">
            <v>18637080</v>
          </cell>
        </row>
        <row r="147">
          <cell r="A147" t="str">
            <v>18332071H1</v>
          </cell>
        </row>
        <row r="148">
          <cell r="A148">
            <v>18637272</v>
          </cell>
        </row>
        <row r="149">
          <cell r="A149" t="str">
            <v>TS18627651</v>
          </cell>
        </row>
        <row r="150">
          <cell r="A150" t="str">
            <v>W18625215</v>
          </cell>
        </row>
        <row r="151">
          <cell r="A151" t="str">
            <v>F18314434H1</v>
          </cell>
        </row>
        <row r="152">
          <cell r="A152">
            <v>18618251</v>
          </cell>
        </row>
        <row r="153">
          <cell r="A153">
            <v>18625667</v>
          </cell>
        </row>
        <row r="154">
          <cell r="A154">
            <v>18618276</v>
          </cell>
        </row>
        <row r="155">
          <cell r="A155">
            <v>18625255</v>
          </cell>
        </row>
        <row r="156">
          <cell r="A156">
            <v>18627220</v>
          </cell>
        </row>
        <row r="157">
          <cell r="A157">
            <v>18625781</v>
          </cell>
        </row>
        <row r="158">
          <cell r="A158" t="str">
            <v>F18637789</v>
          </cell>
        </row>
        <row r="159">
          <cell r="A159" t="str">
            <v>F18637790</v>
          </cell>
        </row>
        <row r="160">
          <cell r="A160">
            <v>18637019</v>
          </cell>
        </row>
        <row r="161">
          <cell r="A161" t="str">
            <v>W18637258</v>
          </cell>
        </row>
        <row r="162">
          <cell r="A162">
            <v>18637537</v>
          </cell>
        </row>
        <row r="163">
          <cell r="A163">
            <v>18538248</v>
          </cell>
        </row>
        <row r="164">
          <cell r="A164" t="str">
            <v>W18637195</v>
          </cell>
        </row>
        <row r="165">
          <cell r="A165">
            <v>18637637</v>
          </cell>
        </row>
        <row r="166">
          <cell r="A166">
            <v>18637021</v>
          </cell>
        </row>
        <row r="167">
          <cell r="A167">
            <v>18637539</v>
          </cell>
        </row>
        <row r="168">
          <cell r="A168">
            <v>18637344</v>
          </cell>
        </row>
        <row r="169">
          <cell r="A169">
            <v>18538047</v>
          </cell>
        </row>
        <row r="170">
          <cell r="A170">
            <v>18637075</v>
          </cell>
        </row>
        <row r="171">
          <cell r="A171">
            <v>18637426</v>
          </cell>
        </row>
        <row r="172">
          <cell r="A172">
            <v>18637058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0"/>
  <sheetViews>
    <sheetView tabSelected="1" zoomScale="85" zoomScaleNormal="85" workbookViewId="0">
      <pane xSplit="1" ySplit="1" topLeftCell="B30" activePane="bottomRight" state="frozen"/>
      <selection/>
      <selection pane="topRight"/>
      <selection pane="bottomLeft"/>
      <selection pane="bottomRight" activeCell="L31" sqref="L31"/>
    </sheetView>
  </sheetViews>
  <sheetFormatPr defaultColWidth="9" defaultRowHeight="14.25"/>
  <cols>
    <col min="1" max="1" width="9.99166666666667" style="45" customWidth="1"/>
    <col min="2" max="2" width="11.6333333333333" customWidth="1"/>
    <col min="3" max="3" width="11.4166666666667" customWidth="1"/>
    <col min="4" max="4" width="11.625" style="46" customWidth="1"/>
    <col min="5" max="5" width="12.0666666666667" customWidth="1"/>
    <col min="6" max="6" width="19.1166666666667" customWidth="1"/>
    <col min="7" max="7" width="22.5916666666667" customWidth="1"/>
    <col min="8" max="9" width="9" style="44"/>
    <col min="10" max="10" width="12.625" style="44"/>
    <col min="11" max="16384" width="9" style="44"/>
  </cols>
  <sheetData>
    <row r="1" ht="44" customHeight="1" spans="1:10">
      <c r="A1" s="47" t="s">
        <v>0</v>
      </c>
      <c r="B1" s="48" t="s">
        <v>1</v>
      </c>
      <c r="C1" s="49" t="s">
        <v>2</v>
      </c>
      <c r="D1" s="50" t="s">
        <v>3</v>
      </c>
      <c r="E1" s="49" t="s">
        <v>4</v>
      </c>
      <c r="F1" s="51" t="s">
        <v>5</v>
      </c>
      <c r="G1" s="51" t="s">
        <v>6</v>
      </c>
    </row>
    <row r="2" s="43" customFormat="1" ht="44" customHeight="1" spans="1:10">
      <c r="A2" s="52">
        <v>8613041</v>
      </c>
      <c r="B2" s="53" t="s">
        <v>7</v>
      </c>
      <c r="C2" s="54">
        <v>179</v>
      </c>
      <c r="D2" s="55">
        <v>159</v>
      </c>
      <c r="E2" s="56" t="s">
        <v>8</v>
      </c>
      <c r="F2" s="57" t="s">
        <v>9</v>
      </c>
      <c r="G2" s="54" t="s">
        <v>10</v>
      </c>
      <c r="H2" s="44"/>
      <c r="I2" s="44"/>
      <c r="J2" s="44"/>
    </row>
    <row r="3" s="43" customFormat="1" ht="44" customHeight="1" spans="1:10">
      <c r="A3" s="52">
        <v>8633052</v>
      </c>
      <c r="B3" s="53" t="s">
        <v>7</v>
      </c>
      <c r="C3" s="54">
        <v>169</v>
      </c>
      <c r="D3" s="55">
        <v>149</v>
      </c>
      <c r="E3" s="56" t="s">
        <v>8</v>
      </c>
      <c r="F3" s="57" t="s">
        <v>11</v>
      </c>
      <c r="G3" s="54">
        <v>0</v>
      </c>
      <c r="H3" s="44"/>
      <c r="I3" s="44"/>
      <c r="J3" s="44"/>
    </row>
    <row r="4" customFormat="1" ht="100" customHeight="1" spans="1:10">
      <c r="A4" s="58">
        <v>8633013</v>
      </c>
      <c r="B4" s="59" t="s">
        <v>7</v>
      </c>
      <c r="C4" s="60">
        <v>229</v>
      </c>
      <c r="D4" s="61">
        <v>209</v>
      </c>
      <c r="E4" s="62" t="s">
        <v>8</v>
      </c>
      <c r="F4" s="60" t="s">
        <v>12</v>
      </c>
      <c r="G4" s="60" t="s">
        <v>13</v>
      </c>
      <c r="H4" s="63"/>
      <c r="I4" s="63"/>
    </row>
    <row r="5" customFormat="1" ht="100" customHeight="1" spans="1:10">
      <c r="A5" s="52">
        <v>8613049</v>
      </c>
      <c r="B5" s="53" t="s">
        <v>7</v>
      </c>
      <c r="C5" s="54">
        <v>169</v>
      </c>
      <c r="D5" s="64">
        <v>149</v>
      </c>
      <c r="E5" s="56" t="s">
        <v>8</v>
      </c>
      <c r="F5" s="54" t="s">
        <v>14</v>
      </c>
      <c r="G5" s="54" t="s">
        <v>15</v>
      </c>
      <c r="H5" s="63"/>
      <c r="I5" s="63"/>
    </row>
    <row r="6" customFormat="1" ht="100" customHeight="1" spans="1:10">
      <c r="A6" s="58">
        <v>8633040</v>
      </c>
      <c r="B6" s="59" t="s">
        <v>7</v>
      </c>
      <c r="C6" s="60">
        <v>199</v>
      </c>
      <c r="D6" s="61">
        <v>179</v>
      </c>
      <c r="E6" s="62" t="s">
        <v>8</v>
      </c>
      <c r="F6" s="60" t="s">
        <v>16</v>
      </c>
      <c r="G6" s="60" t="s">
        <v>17</v>
      </c>
      <c r="H6" s="63"/>
      <c r="I6" s="63"/>
    </row>
    <row r="7" customFormat="1" ht="100" customHeight="1" spans="1:10">
      <c r="A7" s="65">
        <v>8633018</v>
      </c>
      <c r="B7" s="66" t="s">
        <v>7</v>
      </c>
      <c r="C7" s="54">
        <v>199</v>
      </c>
      <c r="D7" s="67">
        <v>169</v>
      </c>
      <c r="E7" s="68" t="s">
        <v>8</v>
      </c>
      <c r="F7" s="54" t="s">
        <v>18</v>
      </c>
      <c r="G7" s="54" t="s">
        <v>19</v>
      </c>
      <c r="H7" s="63"/>
      <c r="I7" s="63"/>
    </row>
    <row r="8" customFormat="1" ht="100" customHeight="1" spans="1:10">
      <c r="A8" s="69">
        <v>8623029</v>
      </c>
      <c r="B8" s="70" t="s">
        <v>7</v>
      </c>
      <c r="C8" s="54">
        <v>179</v>
      </c>
      <c r="D8" s="71">
        <v>149</v>
      </c>
      <c r="E8" s="68" t="s">
        <v>8</v>
      </c>
      <c r="F8" s="54" t="s">
        <v>20</v>
      </c>
      <c r="G8" s="54" t="s">
        <v>21</v>
      </c>
      <c r="H8" s="63"/>
      <c r="I8" s="63"/>
    </row>
    <row r="9" customFormat="1" ht="100" customHeight="1" spans="1:10">
      <c r="A9" s="58">
        <v>8633046</v>
      </c>
      <c r="B9" s="59" t="s">
        <v>7</v>
      </c>
      <c r="C9" s="60">
        <v>169</v>
      </c>
      <c r="D9" s="61">
        <v>149</v>
      </c>
      <c r="E9" s="62" t="s">
        <v>8</v>
      </c>
      <c r="F9" s="60" t="s">
        <v>22</v>
      </c>
      <c r="G9" s="60">
        <v>0</v>
      </c>
      <c r="H9" s="63"/>
      <c r="I9" s="63"/>
    </row>
    <row r="10" customFormat="1" ht="100" customHeight="1" spans="1:10">
      <c r="A10" s="58">
        <v>8633051</v>
      </c>
      <c r="B10" s="59" t="s">
        <v>7</v>
      </c>
      <c r="C10" s="60">
        <v>169</v>
      </c>
      <c r="D10" s="61">
        <v>149</v>
      </c>
      <c r="E10" s="62" t="s">
        <v>8</v>
      </c>
      <c r="F10" s="60" t="s">
        <v>23</v>
      </c>
      <c r="G10" s="60">
        <v>0</v>
      </c>
      <c r="H10" s="63"/>
      <c r="I10" s="63"/>
    </row>
    <row r="11" customFormat="1" ht="113" customHeight="1" spans="1:10">
      <c r="A11" s="72" t="s">
        <v>24</v>
      </c>
      <c r="B11" s="53" t="s">
        <v>7</v>
      </c>
      <c r="C11" s="54">
        <v>189</v>
      </c>
      <c r="D11" s="55">
        <v>169</v>
      </c>
      <c r="E11" s="56" t="s">
        <v>8</v>
      </c>
      <c r="F11" s="57" t="s">
        <v>25</v>
      </c>
      <c r="G11" s="54">
        <v>0</v>
      </c>
      <c r="H11" s="63"/>
      <c r="I11" s="63"/>
    </row>
    <row r="12" customFormat="1" ht="113" customHeight="1" spans="1:10">
      <c r="A12" s="65">
        <v>8623043</v>
      </c>
      <c r="B12" s="73" t="s">
        <v>7</v>
      </c>
      <c r="C12" s="54">
        <v>159</v>
      </c>
      <c r="D12" s="67">
        <v>139</v>
      </c>
      <c r="E12" s="68" t="s">
        <v>8</v>
      </c>
      <c r="F12" s="54" t="s">
        <v>26</v>
      </c>
      <c r="G12" s="54" t="s">
        <v>27</v>
      </c>
      <c r="H12" s="63"/>
      <c r="I12" s="63"/>
    </row>
    <row r="13" customFormat="1" ht="100" customHeight="1" spans="1:10">
      <c r="A13" s="58">
        <v>8633064</v>
      </c>
      <c r="B13" s="59" t="s">
        <v>7</v>
      </c>
      <c r="C13" s="60">
        <v>169</v>
      </c>
      <c r="D13" s="61">
        <v>149</v>
      </c>
      <c r="E13" s="62" t="s">
        <v>8</v>
      </c>
      <c r="F13" s="60" t="s">
        <v>28</v>
      </c>
      <c r="G13" s="60">
        <v>0</v>
      </c>
      <c r="H13" s="63"/>
      <c r="I13" s="63"/>
    </row>
    <row r="14" customFormat="1" ht="100" customHeight="1" spans="1:10">
      <c r="A14" s="65">
        <v>8623110</v>
      </c>
      <c r="B14" s="66" t="s">
        <v>7</v>
      </c>
      <c r="C14" s="54">
        <v>179</v>
      </c>
      <c r="D14" s="67">
        <v>129</v>
      </c>
      <c r="E14" s="68" t="s">
        <v>8</v>
      </c>
      <c r="F14" s="54" t="s">
        <v>29</v>
      </c>
      <c r="G14" s="54" t="s">
        <v>30</v>
      </c>
      <c r="H14" s="63"/>
      <c r="I14" s="63"/>
    </row>
    <row r="15" customFormat="1" ht="100" customHeight="1" spans="1:10">
      <c r="A15" s="58">
        <v>8623069</v>
      </c>
      <c r="B15" s="10" t="s">
        <v>7</v>
      </c>
      <c r="C15" s="10">
        <v>179</v>
      </c>
      <c r="D15" s="74">
        <v>139</v>
      </c>
      <c r="E15" s="75" t="s">
        <v>8</v>
      </c>
      <c r="F15" s="10" t="s">
        <v>31</v>
      </c>
      <c r="G15" s="10" t="s">
        <v>32</v>
      </c>
      <c r="H15" s="63"/>
      <c r="I15" s="63"/>
    </row>
    <row r="16" customFormat="1" ht="100" customHeight="1" spans="1:10">
      <c r="A16" s="58">
        <v>8623070</v>
      </c>
      <c r="B16" s="10" t="s">
        <v>7</v>
      </c>
      <c r="C16" s="10">
        <v>189</v>
      </c>
      <c r="D16" s="74">
        <v>129</v>
      </c>
      <c r="E16" s="75" t="s">
        <v>8</v>
      </c>
      <c r="F16" s="10" t="s">
        <v>33</v>
      </c>
      <c r="G16" s="10" t="s">
        <v>34</v>
      </c>
      <c r="H16" s="63"/>
      <c r="I16" s="63"/>
    </row>
    <row r="17" customFormat="1" ht="100" customHeight="1" spans="1:9">
      <c r="A17" s="65">
        <v>8623073</v>
      </c>
      <c r="B17" s="73" t="s">
        <v>7</v>
      </c>
      <c r="C17" s="54">
        <v>159</v>
      </c>
      <c r="D17" s="74">
        <v>139</v>
      </c>
      <c r="E17" s="56" t="s">
        <v>8</v>
      </c>
      <c r="F17" s="54" t="s">
        <v>35</v>
      </c>
      <c r="G17" s="54" t="s">
        <v>36</v>
      </c>
      <c r="H17" s="63"/>
      <c r="I17" s="63"/>
    </row>
    <row r="18" customFormat="1" ht="100" customHeight="1" spans="1:9">
      <c r="A18" s="65">
        <v>8623089</v>
      </c>
      <c r="B18" s="66" t="s">
        <v>7</v>
      </c>
      <c r="C18" s="54">
        <v>159</v>
      </c>
      <c r="D18" s="74">
        <v>109</v>
      </c>
      <c r="E18" s="56" t="s">
        <v>8</v>
      </c>
      <c r="F18" s="54" t="s">
        <v>37</v>
      </c>
      <c r="G18" s="54" t="s">
        <v>38</v>
      </c>
      <c r="H18" s="63"/>
      <c r="I18" s="63"/>
    </row>
    <row r="19" customFormat="1" ht="100" customHeight="1" spans="1:9">
      <c r="A19" s="58">
        <v>8623017</v>
      </c>
      <c r="B19" s="10" t="s">
        <v>7</v>
      </c>
      <c r="C19" s="10">
        <v>189</v>
      </c>
      <c r="D19" s="74">
        <v>109</v>
      </c>
      <c r="E19" s="75" t="s">
        <v>8</v>
      </c>
      <c r="F19" s="10" t="s">
        <v>39</v>
      </c>
      <c r="G19" s="10" t="s">
        <v>40</v>
      </c>
      <c r="H19" s="63"/>
      <c r="I19" s="63"/>
    </row>
    <row r="20" customFormat="1" ht="100" customHeight="1" spans="1:9">
      <c r="A20" s="76" t="s">
        <v>41</v>
      </c>
      <c r="B20" s="66" t="s">
        <v>7</v>
      </c>
      <c r="C20" s="54">
        <v>159</v>
      </c>
      <c r="D20" s="67">
        <v>129</v>
      </c>
      <c r="E20" s="68" t="s">
        <v>8</v>
      </c>
      <c r="F20" s="54" t="s">
        <v>42</v>
      </c>
      <c r="G20" s="54" t="s">
        <v>43</v>
      </c>
      <c r="H20" s="63"/>
      <c r="I20" s="63"/>
    </row>
    <row r="21" customFormat="1" ht="100" customHeight="1" spans="1:9">
      <c r="A21" s="77">
        <v>8623045</v>
      </c>
      <c r="B21" s="78" t="s">
        <v>7</v>
      </c>
      <c r="C21" s="38">
        <v>169</v>
      </c>
      <c r="D21" s="74">
        <v>139</v>
      </c>
      <c r="E21" s="75" t="s">
        <v>8</v>
      </c>
      <c r="F21" s="79" t="s">
        <v>44</v>
      </c>
      <c r="G21" s="33" t="s">
        <v>45</v>
      </c>
      <c r="H21" s="63"/>
      <c r="I21" s="63"/>
    </row>
    <row r="22" customFormat="1" ht="100" customHeight="1" spans="1:9">
      <c r="A22" s="77">
        <v>8623042</v>
      </c>
      <c r="B22" s="78" t="s">
        <v>7</v>
      </c>
      <c r="C22" s="38">
        <v>179</v>
      </c>
      <c r="D22" s="74">
        <v>149</v>
      </c>
      <c r="E22" s="75" t="s">
        <v>8</v>
      </c>
      <c r="F22" s="79" t="s">
        <v>46</v>
      </c>
      <c r="G22" s="33" t="s">
        <v>47</v>
      </c>
      <c r="H22" s="63"/>
      <c r="I22" s="63"/>
    </row>
    <row r="23" customFormat="1" ht="100" customHeight="1" spans="1:9">
      <c r="A23" s="58">
        <v>8523068</v>
      </c>
      <c r="B23" s="7" t="s">
        <v>7</v>
      </c>
      <c r="C23" s="10">
        <v>139</v>
      </c>
      <c r="D23" s="74">
        <v>139</v>
      </c>
      <c r="E23" s="75" t="s">
        <v>8</v>
      </c>
      <c r="F23" s="10" t="s">
        <v>48</v>
      </c>
      <c r="G23" s="10" t="s">
        <v>49</v>
      </c>
      <c r="H23" s="63"/>
      <c r="I23" s="63"/>
    </row>
    <row r="24" customFormat="1" ht="100" customHeight="1" spans="1:9">
      <c r="A24" s="77">
        <v>8623014</v>
      </c>
      <c r="B24" s="78" t="s">
        <v>7</v>
      </c>
      <c r="C24" s="38">
        <v>199</v>
      </c>
      <c r="D24" s="74">
        <v>149</v>
      </c>
      <c r="E24" s="75" t="s">
        <v>8</v>
      </c>
      <c r="F24" s="79" t="s">
        <v>50</v>
      </c>
      <c r="G24" s="33" t="s">
        <v>51</v>
      </c>
      <c r="H24" s="63"/>
      <c r="I24" s="63"/>
    </row>
    <row r="25" customFormat="1" ht="100" customHeight="1" spans="1:9">
      <c r="A25" s="65">
        <v>8623087</v>
      </c>
      <c r="B25" s="66" t="s">
        <v>7</v>
      </c>
      <c r="C25" s="54">
        <v>169</v>
      </c>
      <c r="D25" s="74">
        <v>129</v>
      </c>
      <c r="E25" s="56" t="s">
        <v>8</v>
      </c>
      <c r="F25" s="54" t="s">
        <v>52</v>
      </c>
      <c r="G25" s="54" t="s">
        <v>53</v>
      </c>
      <c r="H25" s="63"/>
      <c r="I25" s="63"/>
    </row>
    <row r="26" customFormat="1" ht="100" customHeight="1" spans="1:9">
      <c r="A26" s="58">
        <v>8523015</v>
      </c>
      <c r="B26" s="7" t="s">
        <v>7</v>
      </c>
      <c r="C26" s="7">
        <v>209</v>
      </c>
      <c r="D26" s="74">
        <v>99</v>
      </c>
      <c r="E26" s="75" t="s">
        <v>8</v>
      </c>
      <c r="F26" s="10" t="s">
        <v>54</v>
      </c>
      <c r="G26" s="10" t="s">
        <v>55</v>
      </c>
      <c r="H26" s="63"/>
      <c r="I26" s="63"/>
    </row>
    <row r="27" customFormat="1" ht="100" customHeight="1" spans="1:9">
      <c r="A27" s="58">
        <v>8627029</v>
      </c>
      <c r="B27" s="10" t="s">
        <v>56</v>
      </c>
      <c r="C27" s="10">
        <v>159</v>
      </c>
      <c r="D27" s="74">
        <v>139</v>
      </c>
      <c r="E27" s="75" t="s">
        <v>8</v>
      </c>
      <c r="F27" s="10" t="s">
        <v>57</v>
      </c>
      <c r="G27" s="10" t="s">
        <v>58</v>
      </c>
      <c r="H27" s="63"/>
      <c r="I27" s="63"/>
    </row>
    <row r="28" customFormat="1" ht="100" customHeight="1" spans="1:9">
      <c r="A28" s="58">
        <v>8617006</v>
      </c>
      <c r="B28" s="10" t="s">
        <v>56</v>
      </c>
      <c r="C28" s="10">
        <v>189</v>
      </c>
      <c r="D28" s="74">
        <v>159</v>
      </c>
      <c r="E28" s="75" t="s">
        <v>8</v>
      </c>
      <c r="F28" s="10" t="s">
        <v>59</v>
      </c>
      <c r="G28" s="10" t="s">
        <v>60</v>
      </c>
      <c r="H28" s="63"/>
      <c r="I28" s="63"/>
    </row>
    <row r="29" customFormat="1" ht="100" customHeight="1" spans="1:9">
      <c r="A29" s="65">
        <v>8627035</v>
      </c>
      <c r="B29" s="66" t="s">
        <v>56</v>
      </c>
      <c r="C29" s="54">
        <v>169</v>
      </c>
      <c r="D29" s="74">
        <v>149</v>
      </c>
      <c r="E29" s="56" t="s">
        <v>8</v>
      </c>
      <c r="F29" s="54" t="s">
        <v>61</v>
      </c>
      <c r="G29" s="54" t="s">
        <v>62</v>
      </c>
      <c r="H29" s="63"/>
      <c r="I29" s="63"/>
    </row>
    <row r="30" customFormat="1" ht="100" customHeight="1" spans="1:9">
      <c r="A30" s="65">
        <v>8627047</v>
      </c>
      <c r="B30" s="66" t="s">
        <v>56</v>
      </c>
      <c r="C30" s="54">
        <v>179</v>
      </c>
      <c r="D30" s="67">
        <v>159</v>
      </c>
      <c r="E30" s="68" t="s">
        <v>8</v>
      </c>
      <c r="F30" s="54" t="s">
        <v>63</v>
      </c>
      <c r="G30" s="54" t="s">
        <v>64</v>
      </c>
      <c r="H30" s="63"/>
      <c r="I30" s="63"/>
    </row>
    <row r="31" customFormat="1" ht="100" customHeight="1" spans="1:9">
      <c r="A31" s="65">
        <v>8637007</v>
      </c>
      <c r="B31" s="66" t="s">
        <v>56</v>
      </c>
      <c r="C31" s="54">
        <v>199</v>
      </c>
      <c r="D31" s="67">
        <v>179</v>
      </c>
      <c r="E31" s="68" t="s">
        <v>8</v>
      </c>
      <c r="F31" s="54" t="s">
        <v>65</v>
      </c>
      <c r="G31" s="54" t="s">
        <v>64</v>
      </c>
      <c r="H31" s="63"/>
      <c r="I31" s="63"/>
    </row>
    <row r="32" customFormat="1" ht="100" customHeight="1" spans="1:9">
      <c r="A32" s="58">
        <v>8637006</v>
      </c>
      <c r="B32" s="59" t="s">
        <v>56</v>
      </c>
      <c r="C32" s="60">
        <v>199</v>
      </c>
      <c r="D32" s="61">
        <v>179</v>
      </c>
      <c r="E32" s="62" t="s">
        <v>8</v>
      </c>
      <c r="F32" s="60" t="s">
        <v>66</v>
      </c>
      <c r="G32" s="60" t="s">
        <v>64</v>
      </c>
      <c r="H32" s="63"/>
      <c r="I32" s="63"/>
    </row>
    <row r="33" customFormat="1" ht="100" customHeight="1" spans="1:10">
      <c r="A33" s="52">
        <v>8637002</v>
      </c>
      <c r="B33" s="53" t="s">
        <v>56</v>
      </c>
      <c r="C33" s="54">
        <v>229</v>
      </c>
      <c r="D33" s="55">
        <v>209</v>
      </c>
      <c r="E33" s="56" t="s">
        <v>8</v>
      </c>
      <c r="F33" s="57" t="s">
        <v>67</v>
      </c>
      <c r="G33" s="54" t="s">
        <v>68</v>
      </c>
      <c r="H33" s="63"/>
      <c r="I33" s="63"/>
    </row>
    <row r="34" customFormat="1" ht="100" customHeight="1" spans="1:10">
      <c r="A34" s="58">
        <v>8617017</v>
      </c>
      <c r="B34" s="10" t="s">
        <v>56</v>
      </c>
      <c r="C34" s="10">
        <v>219</v>
      </c>
      <c r="D34" s="74">
        <v>199</v>
      </c>
      <c r="E34" s="75" t="s">
        <v>8</v>
      </c>
      <c r="F34" s="10" t="s">
        <v>69</v>
      </c>
      <c r="G34" s="10" t="s">
        <v>49</v>
      </c>
      <c r="H34" s="63"/>
      <c r="I34" s="63"/>
    </row>
    <row r="35" customFormat="1" ht="100" customHeight="1" spans="1:10">
      <c r="A35" s="58">
        <v>8627034</v>
      </c>
      <c r="B35" s="10" t="s">
        <v>56</v>
      </c>
      <c r="C35" s="10">
        <v>179</v>
      </c>
      <c r="D35" s="74">
        <v>149</v>
      </c>
      <c r="E35" s="75" t="s">
        <v>8</v>
      </c>
      <c r="F35" s="10" t="s">
        <v>70</v>
      </c>
      <c r="G35" s="10" t="s">
        <v>71</v>
      </c>
      <c r="H35" s="63"/>
      <c r="I35" s="63"/>
    </row>
    <row r="36" customFormat="1" ht="100" customHeight="1" spans="1:10">
      <c r="A36" s="58">
        <v>8627021</v>
      </c>
      <c r="B36" s="7" t="s">
        <v>56</v>
      </c>
      <c r="C36" s="10">
        <v>229</v>
      </c>
      <c r="D36" s="74">
        <v>159</v>
      </c>
      <c r="E36" s="75" t="s">
        <v>8</v>
      </c>
      <c r="F36" s="10" t="s">
        <v>72</v>
      </c>
      <c r="G36" s="10"/>
      <c r="H36" s="63"/>
      <c r="I36" s="63"/>
    </row>
    <row r="37" customFormat="1" ht="100" customHeight="1" spans="1:10">
      <c r="A37" s="77">
        <v>8527028</v>
      </c>
      <c r="B37" s="78" t="s">
        <v>56</v>
      </c>
      <c r="C37" s="38">
        <v>189</v>
      </c>
      <c r="D37" s="74">
        <v>159</v>
      </c>
      <c r="E37" s="75" t="s">
        <v>8</v>
      </c>
      <c r="F37" s="33" t="s">
        <v>73</v>
      </c>
      <c r="G37" s="33" t="s">
        <v>74</v>
      </c>
      <c r="H37" s="63"/>
      <c r="I37" s="63"/>
    </row>
    <row r="38" s="44" customFormat="1" ht="100" customHeight="1" spans="1:10">
      <c r="A38" s="77">
        <v>8617004</v>
      </c>
      <c r="B38" s="78" t="s">
        <v>56</v>
      </c>
      <c r="C38" s="38">
        <v>179</v>
      </c>
      <c r="D38" s="74">
        <v>129</v>
      </c>
      <c r="E38" s="75" t="s">
        <v>8</v>
      </c>
      <c r="F38" s="79" t="s">
        <v>75</v>
      </c>
      <c r="G38" s="33">
        <v>0</v>
      </c>
      <c r="H38" s="63"/>
      <c r="I38" s="63"/>
      <c r="J38"/>
    </row>
    <row r="39" s="44" customFormat="1" ht="100" customHeight="1" spans="1:10">
      <c r="A39" s="52">
        <v>8630008</v>
      </c>
      <c r="B39" s="53" t="s">
        <v>56</v>
      </c>
      <c r="C39" s="54">
        <v>229</v>
      </c>
      <c r="D39" s="55">
        <v>209</v>
      </c>
      <c r="E39" s="56" t="s">
        <v>8</v>
      </c>
      <c r="F39" s="57" t="s">
        <v>76</v>
      </c>
      <c r="G39" s="54" t="s">
        <v>77</v>
      </c>
      <c r="H39" s="63"/>
      <c r="I39" s="63"/>
      <c r="J39"/>
    </row>
    <row r="40" customFormat="1" ht="100" customHeight="1" spans="1:10">
      <c r="A40" s="58">
        <v>8637012</v>
      </c>
      <c r="B40" s="59" t="s">
        <v>56</v>
      </c>
      <c r="C40" s="60">
        <v>189</v>
      </c>
      <c r="D40" s="61">
        <v>169</v>
      </c>
      <c r="E40" s="62" t="s">
        <v>8</v>
      </c>
      <c r="F40" s="60" t="s">
        <v>78</v>
      </c>
      <c r="G40" s="60" t="s">
        <v>68</v>
      </c>
      <c r="H40" s="63"/>
      <c r="I40" s="63"/>
    </row>
    <row r="41" customFormat="1" ht="100" customHeight="1" spans="1:10">
      <c r="A41" s="58">
        <v>8634003</v>
      </c>
      <c r="B41" s="59" t="s">
        <v>79</v>
      </c>
      <c r="C41" s="60">
        <v>189</v>
      </c>
      <c r="D41" s="61">
        <v>169</v>
      </c>
      <c r="E41" s="62" t="s">
        <v>8</v>
      </c>
      <c r="F41" s="60" t="s">
        <v>80</v>
      </c>
      <c r="G41" s="60" t="s">
        <v>81</v>
      </c>
      <c r="H41" s="63"/>
      <c r="I41" s="63"/>
    </row>
    <row r="42" customFormat="1" ht="100" customHeight="1" spans="1:10">
      <c r="A42" s="52">
        <v>8634025</v>
      </c>
      <c r="B42" s="53" t="s">
        <v>79</v>
      </c>
      <c r="C42" s="54">
        <v>229</v>
      </c>
      <c r="D42" s="55">
        <v>209</v>
      </c>
      <c r="E42" s="56" t="s">
        <v>8</v>
      </c>
      <c r="F42" s="57" t="s">
        <v>82</v>
      </c>
      <c r="G42" s="54" t="s">
        <v>83</v>
      </c>
      <c r="H42" s="63"/>
      <c r="I42" s="63"/>
    </row>
    <row r="43" customFormat="1" ht="100" customHeight="1" spans="1:10">
      <c r="A43" s="52">
        <v>8634029</v>
      </c>
      <c r="B43" s="53" t="s">
        <v>79</v>
      </c>
      <c r="C43" s="54">
        <v>199</v>
      </c>
      <c r="D43" s="55">
        <v>179</v>
      </c>
      <c r="E43" s="56" t="s">
        <v>8</v>
      </c>
      <c r="F43" s="57" t="s">
        <v>84</v>
      </c>
      <c r="G43" s="54">
        <v>0</v>
      </c>
      <c r="H43" s="63"/>
      <c r="I43" s="63"/>
    </row>
    <row r="44" customFormat="1" ht="100" customHeight="1" spans="1:10">
      <c r="A44" s="58">
        <v>8634009</v>
      </c>
      <c r="B44" s="59" t="s">
        <v>79</v>
      </c>
      <c r="C44" s="60">
        <v>199</v>
      </c>
      <c r="D44" s="61">
        <v>179</v>
      </c>
      <c r="E44" s="62" t="s">
        <v>8</v>
      </c>
      <c r="F44" s="60" t="s">
        <v>85</v>
      </c>
      <c r="G44" s="60" t="s">
        <v>86</v>
      </c>
      <c r="H44" s="63"/>
      <c r="I44" s="63"/>
    </row>
    <row r="45" customFormat="1" ht="100" customHeight="1" spans="1:10">
      <c r="A45" s="58">
        <v>8634004</v>
      </c>
      <c r="B45" s="59" t="s">
        <v>79</v>
      </c>
      <c r="C45" s="60">
        <v>189</v>
      </c>
      <c r="D45" s="61">
        <v>169</v>
      </c>
      <c r="E45" s="62" t="s">
        <v>8</v>
      </c>
      <c r="F45" s="60" t="s">
        <v>87</v>
      </c>
      <c r="G45" s="60" t="s">
        <v>88</v>
      </c>
      <c r="H45" s="63"/>
      <c r="I45" s="63"/>
    </row>
    <row r="46" customFormat="1" ht="100" customHeight="1" spans="1:10">
      <c r="A46" s="52">
        <v>8634010</v>
      </c>
      <c r="B46" s="53" t="s">
        <v>79</v>
      </c>
      <c r="C46" s="54">
        <v>189</v>
      </c>
      <c r="D46" s="55">
        <v>169</v>
      </c>
      <c r="E46" s="56" t="s">
        <v>8</v>
      </c>
      <c r="F46" s="57" t="s">
        <v>89</v>
      </c>
      <c r="G46" s="54" t="s">
        <v>88</v>
      </c>
      <c r="H46" s="63"/>
      <c r="I46" s="63"/>
    </row>
    <row r="47" customFormat="1" ht="100" customHeight="1" spans="1:10">
      <c r="A47" s="52">
        <v>8614013</v>
      </c>
      <c r="B47" s="53" t="s">
        <v>79</v>
      </c>
      <c r="C47" s="54">
        <v>159</v>
      </c>
      <c r="D47" s="55">
        <v>139</v>
      </c>
      <c r="E47" s="56" t="s">
        <v>8</v>
      </c>
      <c r="F47" s="57" t="s">
        <v>90</v>
      </c>
      <c r="G47" s="54" t="s">
        <v>91</v>
      </c>
      <c r="H47" s="63"/>
      <c r="I47" s="63"/>
    </row>
    <row r="48" customFormat="1" ht="100" customHeight="1" spans="1:10">
      <c r="A48" s="58">
        <v>8634011</v>
      </c>
      <c r="B48" s="59" t="s">
        <v>79</v>
      </c>
      <c r="C48" s="60">
        <v>189</v>
      </c>
      <c r="D48" s="61">
        <v>169</v>
      </c>
      <c r="E48" s="62" t="s">
        <v>8</v>
      </c>
      <c r="F48" s="60" t="s">
        <v>92</v>
      </c>
      <c r="G48" s="60" t="s">
        <v>88</v>
      </c>
      <c r="H48" s="63"/>
      <c r="I48" s="63"/>
    </row>
    <row r="49" customFormat="1" ht="100" customHeight="1" spans="1:9">
      <c r="A49" s="58">
        <v>8634012</v>
      </c>
      <c r="B49" s="59" t="s">
        <v>79</v>
      </c>
      <c r="C49" s="60">
        <v>199</v>
      </c>
      <c r="D49" s="61">
        <v>179</v>
      </c>
      <c r="E49" s="62" t="s">
        <v>8</v>
      </c>
      <c r="F49" s="60" t="s">
        <v>93</v>
      </c>
      <c r="G49" s="60" t="s">
        <v>88</v>
      </c>
      <c r="H49" s="63"/>
      <c r="I49" s="63"/>
    </row>
    <row r="50" customFormat="1" ht="100" customHeight="1" spans="1:9">
      <c r="A50" s="58">
        <v>8635009</v>
      </c>
      <c r="B50" s="59" t="s">
        <v>94</v>
      </c>
      <c r="C50" s="60">
        <v>199</v>
      </c>
      <c r="D50" s="61">
        <v>179</v>
      </c>
      <c r="E50" s="62" t="s">
        <v>8</v>
      </c>
      <c r="F50" s="60" t="s">
        <v>95</v>
      </c>
      <c r="G50" s="60" t="s">
        <v>96</v>
      </c>
      <c r="H50" s="63"/>
      <c r="I50" s="63"/>
    </row>
    <row r="51" customFormat="1" ht="100" customHeight="1" spans="1:9">
      <c r="A51" s="52">
        <v>8635017</v>
      </c>
      <c r="B51" s="53" t="s">
        <v>94</v>
      </c>
      <c r="C51" s="54">
        <v>269</v>
      </c>
      <c r="D51" s="55">
        <v>249</v>
      </c>
      <c r="E51" s="56" t="s">
        <v>8</v>
      </c>
      <c r="F51" s="57" t="s">
        <v>97</v>
      </c>
      <c r="G51" s="54" t="s">
        <v>88</v>
      </c>
      <c r="H51" s="63"/>
      <c r="I51" s="63"/>
    </row>
    <row r="52" customFormat="1" ht="100" customHeight="1" spans="1:9">
      <c r="A52" s="52">
        <v>8615014</v>
      </c>
      <c r="B52" s="53" t="s">
        <v>94</v>
      </c>
      <c r="C52" s="54">
        <v>299</v>
      </c>
      <c r="D52" s="55">
        <v>279</v>
      </c>
      <c r="E52" s="56" t="s">
        <v>8</v>
      </c>
      <c r="F52" s="57" t="s">
        <v>98</v>
      </c>
      <c r="G52" s="54" t="s">
        <v>99</v>
      </c>
      <c r="H52" s="63"/>
      <c r="I52" s="63"/>
    </row>
    <row r="53" customFormat="1" ht="100" customHeight="1" spans="1:9">
      <c r="A53" s="52">
        <v>8615002</v>
      </c>
      <c r="B53" s="53" t="s">
        <v>94</v>
      </c>
      <c r="C53" s="54">
        <v>369</v>
      </c>
      <c r="D53" s="55">
        <v>349</v>
      </c>
      <c r="E53" s="56" t="s">
        <v>8</v>
      </c>
      <c r="F53" s="57" t="s">
        <v>100</v>
      </c>
      <c r="G53" s="54" t="s">
        <v>101</v>
      </c>
      <c r="H53" s="63"/>
      <c r="I53" s="63"/>
    </row>
    <row r="54" customFormat="1" ht="100" customHeight="1" spans="1:9">
      <c r="A54" s="52">
        <v>8635006</v>
      </c>
      <c r="B54" s="53" t="s">
        <v>94</v>
      </c>
      <c r="C54" s="54">
        <v>379</v>
      </c>
      <c r="D54" s="55">
        <v>359</v>
      </c>
      <c r="E54" s="56" t="s">
        <v>8</v>
      </c>
      <c r="F54" s="57" t="s">
        <v>102</v>
      </c>
      <c r="G54" s="54" t="s">
        <v>103</v>
      </c>
      <c r="H54" s="63"/>
      <c r="I54" s="63"/>
    </row>
    <row r="55" customFormat="1" ht="100" customHeight="1" spans="1:9">
      <c r="A55" s="52">
        <v>8635020</v>
      </c>
      <c r="B55" s="53" t="s">
        <v>94</v>
      </c>
      <c r="C55" s="54">
        <v>419</v>
      </c>
      <c r="D55" s="55">
        <v>399</v>
      </c>
      <c r="E55" s="56" t="s">
        <v>8</v>
      </c>
      <c r="F55" s="57" t="s">
        <v>104</v>
      </c>
      <c r="G55" s="54" t="s">
        <v>105</v>
      </c>
      <c r="H55" s="63"/>
      <c r="I55" s="63"/>
    </row>
    <row r="56" customFormat="1" ht="100" customHeight="1" spans="1:9">
      <c r="A56" s="52">
        <v>8635028</v>
      </c>
      <c r="B56" s="53" t="s">
        <v>94</v>
      </c>
      <c r="C56" s="54">
        <v>349</v>
      </c>
      <c r="D56" s="55">
        <v>329</v>
      </c>
      <c r="E56" s="56" t="s">
        <v>8</v>
      </c>
      <c r="F56" s="57" t="s">
        <v>106</v>
      </c>
      <c r="G56" s="54" t="s">
        <v>107</v>
      </c>
      <c r="H56" s="63"/>
      <c r="I56" s="63"/>
    </row>
    <row r="57" customFormat="1" ht="100" customHeight="1" spans="1:9">
      <c r="A57" s="52">
        <v>8635024</v>
      </c>
      <c r="B57" s="53" t="s">
        <v>108</v>
      </c>
      <c r="C57" s="54">
        <v>379</v>
      </c>
      <c r="D57" s="55">
        <v>359</v>
      </c>
      <c r="E57" s="56" t="s">
        <v>8</v>
      </c>
      <c r="F57" s="57" t="s">
        <v>109</v>
      </c>
      <c r="G57" s="54" t="s">
        <v>110</v>
      </c>
      <c r="H57" s="63"/>
      <c r="I57" s="63"/>
    </row>
    <row r="58" customFormat="1" ht="100" customHeight="1" spans="1:9">
      <c r="A58" s="58">
        <v>8620073</v>
      </c>
      <c r="B58" s="10" t="s">
        <v>111</v>
      </c>
      <c r="C58" s="10">
        <v>249</v>
      </c>
      <c r="D58" s="74">
        <v>189</v>
      </c>
      <c r="E58" s="75" t="s">
        <v>8</v>
      </c>
      <c r="F58" s="10" t="s">
        <v>112</v>
      </c>
      <c r="G58" s="10" t="s">
        <v>113</v>
      </c>
      <c r="H58" s="63"/>
      <c r="I58" s="63"/>
    </row>
    <row r="59" customFormat="1" ht="100" customHeight="1" spans="1:9">
      <c r="A59" s="58">
        <v>8620086</v>
      </c>
      <c r="B59" s="10" t="s">
        <v>111</v>
      </c>
      <c r="C59" s="10">
        <v>329</v>
      </c>
      <c r="D59" s="74">
        <v>279</v>
      </c>
      <c r="E59" s="75" t="s">
        <v>8</v>
      </c>
      <c r="F59" s="10" t="s">
        <v>114</v>
      </c>
      <c r="G59" s="10" t="s">
        <v>115</v>
      </c>
      <c r="H59" s="63"/>
      <c r="I59" s="63"/>
    </row>
    <row r="60" customFormat="1" ht="100" customHeight="1" spans="1:9">
      <c r="A60" s="58">
        <v>8620099</v>
      </c>
      <c r="B60" s="10" t="s">
        <v>111</v>
      </c>
      <c r="C60" s="10">
        <v>309</v>
      </c>
      <c r="D60" s="74">
        <v>149</v>
      </c>
      <c r="E60" s="75" t="s">
        <v>8</v>
      </c>
      <c r="F60" s="10" t="s">
        <v>116</v>
      </c>
      <c r="G60" s="10" t="s">
        <v>117</v>
      </c>
      <c r="H60" s="63"/>
      <c r="I60" s="63"/>
    </row>
    <row r="61" customFormat="1" ht="100" customHeight="1" spans="1:9">
      <c r="A61" s="52">
        <v>8628050</v>
      </c>
      <c r="B61" s="53" t="s">
        <v>118</v>
      </c>
      <c r="C61" s="54">
        <v>219</v>
      </c>
      <c r="D61" s="55">
        <v>199</v>
      </c>
      <c r="E61" s="56" t="s">
        <v>8</v>
      </c>
      <c r="F61" s="57" t="s">
        <v>119</v>
      </c>
      <c r="G61" s="54" t="s">
        <v>68</v>
      </c>
      <c r="H61" s="63"/>
      <c r="I61" s="63"/>
    </row>
    <row r="62" customFormat="1" ht="100" customHeight="1" spans="1:9">
      <c r="A62" s="52">
        <v>8638055</v>
      </c>
      <c r="B62" s="53" t="s">
        <v>118</v>
      </c>
      <c r="C62" s="54">
        <v>269</v>
      </c>
      <c r="D62" s="55">
        <v>249</v>
      </c>
      <c r="E62" s="56" t="s">
        <v>8</v>
      </c>
      <c r="F62" s="57" t="s">
        <v>120</v>
      </c>
      <c r="G62" s="54" t="s">
        <v>121</v>
      </c>
      <c r="H62" s="63"/>
      <c r="I62" s="63"/>
    </row>
    <row r="63" customFormat="1" ht="100" customHeight="1" spans="1:9">
      <c r="A63" s="52">
        <v>8638061</v>
      </c>
      <c r="B63" s="53" t="s">
        <v>118</v>
      </c>
      <c r="C63" s="54">
        <v>269</v>
      </c>
      <c r="D63" s="55">
        <v>249</v>
      </c>
      <c r="E63" s="56" t="s">
        <v>8</v>
      </c>
      <c r="F63" s="57" t="s">
        <v>122</v>
      </c>
      <c r="G63" s="54" t="s">
        <v>123</v>
      </c>
      <c r="H63" s="63"/>
      <c r="I63" s="63"/>
    </row>
    <row r="64" customFormat="1" ht="100" customHeight="1" spans="1:9">
      <c r="A64" s="58">
        <v>8638059</v>
      </c>
      <c r="B64" s="59" t="s">
        <v>118</v>
      </c>
      <c r="C64" s="60">
        <v>269</v>
      </c>
      <c r="D64" s="61">
        <v>249</v>
      </c>
      <c r="E64" s="62" t="s">
        <v>8</v>
      </c>
      <c r="F64" s="60" t="s">
        <v>124</v>
      </c>
      <c r="G64" s="60" t="s">
        <v>125</v>
      </c>
      <c r="H64" s="63"/>
      <c r="I64" s="63"/>
    </row>
    <row r="65" customFormat="1" ht="100" customHeight="1" spans="1:9">
      <c r="A65" s="58">
        <v>8638062</v>
      </c>
      <c r="B65" s="59" t="s">
        <v>118</v>
      </c>
      <c r="C65" s="60">
        <v>339</v>
      </c>
      <c r="D65" s="61">
        <v>319</v>
      </c>
      <c r="E65" s="62" t="s">
        <v>8</v>
      </c>
      <c r="F65" s="60" t="s">
        <v>126</v>
      </c>
      <c r="G65" s="60" t="s">
        <v>68</v>
      </c>
      <c r="H65" s="63"/>
      <c r="I65" s="63"/>
    </row>
    <row r="66" customFormat="1" ht="100" customHeight="1" spans="1:9">
      <c r="A66" s="65">
        <v>8628002</v>
      </c>
      <c r="B66" s="66" t="s">
        <v>118</v>
      </c>
      <c r="C66" s="54">
        <v>299</v>
      </c>
      <c r="D66" s="80">
        <v>279</v>
      </c>
      <c r="E66" s="68" t="s">
        <v>8</v>
      </c>
      <c r="F66" s="54" t="s">
        <v>127</v>
      </c>
      <c r="G66" s="54" t="s">
        <v>68</v>
      </c>
      <c r="H66" s="63"/>
      <c r="I66" s="63"/>
    </row>
    <row r="67" customFormat="1" ht="100" customHeight="1" spans="1:9">
      <c r="A67" s="65">
        <v>8628054</v>
      </c>
      <c r="B67" s="66" t="s">
        <v>118</v>
      </c>
      <c r="C67" s="54">
        <v>249</v>
      </c>
      <c r="D67" s="67">
        <v>229</v>
      </c>
      <c r="E67" s="56" t="s">
        <v>8</v>
      </c>
      <c r="F67" s="54" t="s">
        <v>128</v>
      </c>
      <c r="G67" s="54" t="s">
        <v>129</v>
      </c>
      <c r="H67" s="63"/>
      <c r="I67" s="63"/>
    </row>
    <row r="68" customFormat="1" ht="100" customHeight="1" spans="1:9">
      <c r="A68" s="58">
        <v>8628016</v>
      </c>
      <c r="B68" s="10" t="s">
        <v>118</v>
      </c>
      <c r="C68" s="10">
        <v>269</v>
      </c>
      <c r="D68" s="74">
        <v>239</v>
      </c>
      <c r="E68" s="75" t="s">
        <v>8</v>
      </c>
      <c r="F68" s="10" t="s">
        <v>130</v>
      </c>
      <c r="G68" s="10" t="s">
        <v>131</v>
      </c>
      <c r="H68" s="63"/>
      <c r="I68" s="63"/>
    </row>
    <row r="69" customFormat="1" ht="100" customHeight="1" spans="1:9">
      <c r="A69" s="58">
        <v>8628020</v>
      </c>
      <c r="B69" s="10" t="s">
        <v>118</v>
      </c>
      <c r="C69" s="10">
        <v>259</v>
      </c>
      <c r="D69" s="74">
        <v>229</v>
      </c>
      <c r="E69" s="75" t="s">
        <v>8</v>
      </c>
      <c r="F69" s="10" t="s">
        <v>132</v>
      </c>
      <c r="G69" s="10" t="s">
        <v>133</v>
      </c>
      <c r="H69" s="63"/>
      <c r="I69" s="63"/>
    </row>
    <row r="70" customFormat="1" ht="100" customHeight="1" spans="1:9">
      <c r="A70" s="65">
        <v>8628017</v>
      </c>
      <c r="B70" s="73" t="s">
        <v>118</v>
      </c>
      <c r="C70" s="54">
        <v>269</v>
      </c>
      <c r="D70" s="67">
        <v>249</v>
      </c>
      <c r="E70" s="68" t="s">
        <v>8</v>
      </c>
      <c r="F70" s="54" t="s">
        <v>134</v>
      </c>
      <c r="G70" s="54" t="s">
        <v>133</v>
      </c>
      <c r="H70" s="63"/>
      <c r="I70" s="63"/>
    </row>
    <row r="71" customFormat="1" ht="100" customHeight="1" spans="1:9">
      <c r="A71" s="58">
        <v>8638056</v>
      </c>
      <c r="B71" s="59" t="s">
        <v>118</v>
      </c>
      <c r="C71" s="60">
        <v>289</v>
      </c>
      <c r="D71" s="61">
        <v>269</v>
      </c>
      <c r="E71" s="62" t="s">
        <v>8</v>
      </c>
      <c r="F71" s="60" t="s">
        <v>135</v>
      </c>
      <c r="G71" s="60" t="s">
        <v>136</v>
      </c>
      <c r="H71" s="63"/>
      <c r="I71" s="63"/>
    </row>
    <row r="72" customFormat="1" ht="100" customHeight="1" spans="1:9">
      <c r="A72" s="58">
        <v>8618020</v>
      </c>
      <c r="B72" s="10" t="s">
        <v>118</v>
      </c>
      <c r="C72" s="10">
        <v>259</v>
      </c>
      <c r="D72" s="74">
        <v>229</v>
      </c>
      <c r="E72" s="75" t="s">
        <v>8</v>
      </c>
      <c r="F72" s="10" t="s">
        <v>137</v>
      </c>
      <c r="G72" s="10" t="s">
        <v>138</v>
      </c>
      <c r="H72" s="63"/>
      <c r="I72" s="63"/>
    </row>
    <row r="73" customFormat="1" ht="100" customHeight="1" spans="1:9">
      <c r="A73" s="58">
        <v>8558012</v>
      </c>
      <c r="B73" s="10" t="s">
        <v>118</v>
      </c>
      <c r="C73" s="10">
        <v>289</v>
      </c>
      <c r="D73" s="74">
        <v>259</v>
      </c>
      <c r="E73" s="75" t="s">
        <v>8</v>
      </c>
      <c r="F73" s="10" t="s">
        <v>139</v>
      </c>
      <c r="G73" s="10" t="s">
        <v>140</v>
      </c>
      <c r="H73" s="63"/>
      <c r="I73" s="63"/>
    </row>
    <row r="74" customFormat="1" ht="100" customHeight="1" spans="1:9">
      <c r="A74" s="58">
        <v>8658020</v>
      </c>
      <c r="B74" s="7" t="s">
        <v>118</v>
      </c>
      <c r="C74" s="10">
        <v>0</v>
      </c>
      <c r="D74" s="74">
        <v>269</v>
      </c>
      <c r="E74" s="75" t="s">
        <v>8</v>
      </c>
      <c r="F74" s="10">
        <v>0</v>
      </c>
      <c r="G74" s="10">
        <v>0</v>
      </c>
      <c r="H74" s="63"/>
      <c r="I74" s="63"/>
    </row>
    <row r="75" customFormat="1" ht="100" customHeight="1" spans="1:9">
      <c r="A75" s="58">
        <v>8658019</v>
      </c>
      <c r="B75" s="7" t="s">
        <v>118</v>
      </c>
      <c r="C75" s="10">
        <v>0</v>
      </c>
      <c r="D75" s="74">
        <v>229</v>
      </c>
      <c r="E75" s="75" t="s">
        <v>8</v>
      </c>
      <c r="F75" s="10">
        <v>0</v>
      </c>
      <c r="G75" s="10">
        <v>0</v>
      </c>
      <c r="H75" s="63"/>
      <c r="I75" s="63"/>
    </row>
    <row r="76" customFormat="1" ht="100" customHeight="1" spans="1:9">
      <c r="A76" s="58">
        <v>8658023</v>
      </c>
      <c r="B76" s="10" t="s">
        <v>118</v>
      </c>
      <c r="C76" s="10">
        <v>289</v>
      </c>
      <c r="D76" s="74">
        <v>259</v>
      </c>
      <c r="E76" s="75" t="s">
        <v>8</v>
      </c>
      <c r="F76" s="10" t="s">
        <v>141</v>
      </c>
      <c r="G76" s="10" t="s">
        <v>142</v>
      </c>
      <c r="H76" s="63"/>
      <c r="I76" s="63"/>
    </row>
    <row r="77" customFormat="1" ht="100" customHeight="1" spans="1:9">
      <c r="A77" s="58">
        <v>8558007</v>
      </c>
      <c r="B77" s="10" t="s">
        <v>118</v>
      </c>
      <c r="C77" s="10" t="s">
        <v>143</v>
      </c>
      <c r="D77" s="74">
        <v>229</v>
      </c>
      <c r="E77" s="75" t="s">
        <v>8</v>
      </c>
      <c r="F77" s="10" t="s">
        <v>144</v>
      </c>
      <c r="G77" s="10" t="s">
        <v>145</v>
      </c>
      <c r="H77" s="63"/>
      <c r="I77" s="63"/>
    </row>
    <row r="78" customFormat="1" ht="100" customHeight="1" spans="1:9">
      <c r="A78" s="58">
        <v>8558013</v>
      </c>
      <c r="B78" s="10" t="s">
        <v>118</v>
      </c>
      <c r="C78" s="10">
        <v>259</v>
      </c>
      <c r="D78" s="74">
        <v>239</v>
      </c>
      <c r="E78" s="75" t="s">
        <v>8</v>
      </c>
      <c r="F78" s="10" t="s">
        <v>146</v>
      </c>
      <c r="G78" s="10" t="s">
        <v>147</v>
      </c>
      <c r="H78" s="63"/>
      <c r="I78" s="63"/>
    </row>
    <row r="79" customFormat="1" ht="100" customHeight="1" spans="1:9">
      <c r="A79" s="58">
        <v>8658016</v>
      </c>
      <c r="B79" s="10" t="s">
        <v>118</v>
      </c>
      <c r="C79" s="10">
        <v>279</v>
      </c>
      <c r="D79" s="74">
        <v>259</v>
      </c>
      <c r="E79" s="75" t="s">
        <v>8</v>
      </c>
      <c r="F79" s="10" t="s">
        <v>148</v>
      </c>
      <c r="G79" s="10" t="s">
        <v>149</v>
      </c>
      <c r="H79" s="63"/>
      <c r="I79" s="63"/>
    </row>
    <row r="80" customFormat="1" ht="100" customHeight="1" spans="1:9">
      <c r="A80" s="58">
        <v>8528091</v>
      </c>
      <c r="B80" s="7" t="s">
        <v>118</v>
      </c>
      <c r="C80" s="10">
        <v>299</v>
      </c>
      <c r="D80" s="74">
        <v>219</v>
      </c>
      <c r="E80" s="75" t="s">
        <v>8</v>
      </c>
      <c r="F80" s="10" t="s">
        <v>150</v>
      </c>
      <c r="G80" s="10" t="s">
        <v>49</v>
      </c>
      <c r="H80" s="63"/>
      <c r="I80" s="63"/>
    </row>
    <row r="81" customFormat="1" ht="100" customHeight="1" spans="1:9">
      <c r="A81" s="58">
        <v>8628059</v>
      </c>
      <c r="B81" s="10" t="s">
        <v>118</v>
      </c>
      <c r="C81" s="10">
        <v>289</v>
      </c>
      <c r="D81" s="74">
        <v>259</v>
      </c>
      <c r="E81" s="75" t="s">
        <v>8</v>
      </c>
      <c r="F81" s="10" t="s">
        <v>151</v>
      </c>
      <c r="G81" s="10" t="s">
        <v>68</v>
      </c>
      <c r="H81" s="63"/>
      <c r="I81" s="63"/>
    </row>
    <row r="82" customFormat="1" ht="100" customHeight="1" spans="1:9">
      <c r="A82" s="65">
        <v>8628058</v>
      </c>
      <c r="B82" s="66" t="s">
        <v>118</v>
      </c>
      <c r="C82" s="54">
        <v>279</v>
      </c>
      <c r="D82" s="67">
        <v>239</v>
      </c>
      <c r="E82" s="56" t="s">
        <v>8</v>
      </c>
      <c r="F82" s="54" t="s">
        <v>152</v>
      </c>
      <c r="G82" s="54" t="s">
        <v>153</v>
      </c>
      <c r="H82" s="63"/>
      <c r="I82" s="63"/>
    </row>
    <row r="83" customFormat="1" ht="100" customHeight="1" spans="1:9">
      <c r="A83" s="58">
        <v>8628053</v>
      </c>
      <c r="B83" s="10" t="s">
        <v>118</v>
      </c>
      <c r="C83" s="10">
        <v>299</v>
      </c>
      <c r="D83" s="74">
        <v>269</v>
      </c>
      <c r="E83" s="75" t="s">
        <v>8</v>
      </c>
      <c r="F83" s="10" t="s">
        <v>154</v>
      </c>
      <c r="G83" s="10" t="s">
        <v>155</v>
      </c>
      <c r="H83" s="63"/>
      <c r="I83" s="63"/>
    </row>
    <row r="84" customFormat="1" ht="100" customHeight="1" spans="1:9">
      <c r="A84" s="81">
        <v>8658029</v>
      </c>
      <c r="B84" s="54" t="s">
        <v>118</v>
      </c>
      <c r="C84" s="54">
        <v>339</v>
      </c>
      <c r="D84" s="74">
        <v>319</v>
      </c>
      <c r="E84" s="56" t="s">
        <v>8</v>
      </c>
      <c r="F84" s="54" t="s">
        <v>156</v>
      </c>
      <c r="G84" s="54" t="s">
        <v>157</v>
      </c>
      <c r="H84" s="63"/>
      <c r="I84" s="63"/>
    </row>
    <row r="85" customFormat="1" ht="100" customHeight="1" spans="1:9">
      <c r="A85" s="81">
        <v>8658030</v>
      </c>
      <c r="B85" s="54" t="s">
        <v>118</v>
      </c>
      <c r="C85" s="54">
        <v>269</v>
      </c>
      <c r="D85" s="74">
        <v>229</v>
      </c>
      <c r="E85" s="56" t="s">
        <v>8</v>
      </c>
      <c r="F85" s="54" t="s">
        <v>158</v>
      </c>
      <c r="G85" s="54" t="s">
        <v>68</v>
      </c>
      <c r="H85" s="63"/>
      <c r="I85" s="63"/>
    </row>
    <row r="86" customFormat="1" ht="100" customHeight="1" spans="1:9">
      <c r="A86" s="65">
        <v>8628015</v>
      </c>
      <c r="B86" s="66" t="s">
        <v>118</v>
      </c>
      <c r="C86" s="54">
        <v>239</v>
      </c>
      <c r="D86" s="67">
        <v>219</v>
      </c>
      <c r="E86" s="68" t="s">
        <v>8</v>
      </c>
      <c r="F86" s="54" t="s">
        <v>159</v>
      </c>
      <c r="G86" s="54" t="s">
        <v>160</v>
      </c>
      <c r="H86" s="63"/>
      <c r="I86" s="63"/>
    </row>
    <row r="87" customFormat="1" ht="100" customHeight="1" spans="1:9">
      <c r="A87" s="65">
        <v>8625005</v>
      </c>
      <c r="B87" s="66" t="s">
        <v>161</v>
      </c>
      <c r="C87" s="54">
        <v>259</v>
      </c>
      <c r="D87" s="67">
        <v>199</v>
      </c>
      <c r="E87" s="68" t="s">
        <v>8</v>
      </c>
      <c r="F87" s="54" t="s">
        <v>162</v>
      </c>
      <c r="G87" s="54" t="s">
        <v>49</v>
      </c>
      <c r="H87" s="63"/>
      <c r="I87" s="63"/>
    </row>
    <row r="88" customFormat="1" ht="100" customHeight="1" spans="1:9">
      <c r="A88" s="52">
        <v>8635003</v>
      </c>
      <c r="B88" s="53" t="s">
        <v>161</v>
      </c>
      <c r="C88" s="54">
        <v>229</v>
      </c>
      <c r="D88" s="82">
        <v>209</v>
      </c>
      <c r="E88" s="56" t="s">
        <v>8</v>
      </c>
      <c r="F88" s="57" t="s">
        <v>163</v>
      </c>
      <c r="G88" s="54" t="s">
        <v>164</v>
      </c>
      <c r="H88" s="63"/>
      <c r="I88" s="63"/>
    </row>
    <row r="89" customFormat="1" ht="100" customHeight="1" spans="1:9">
      <c r="A89" s="52">
        <v>8635019</v>
      </c>
      <c r="B89" s="53" t="s">
        <v>161</v>
      </c>
      <c r="C89" s="54">
        <v>279</v>
      </c>
      <c r="D89" s="55">
        <v>259</v>
      </c>
      <c r="E89" s="56" t="s">
        <v>8</v>
      </c>
      <c r="F89" s="57" t="s">
        <v>165</v>
      </c>
      <c r="G89" s="54" t="s">
        <v>166</v>
      </c>
      <c r="H89" s="63"/>
      <c r="I89" s="63"/>
    </row>
    <row r="90" customFormat="1" ht="100" customHeight="1" spans="1:9">
      <c r="A90" s="58">
        <v>8635016</v>
      </c>
      <c r="B90" s="59" t="s">
        <v>161</v>
      </c>
      <c r="C90" s="60">
        <v>199</v>
      </c>
      <c r="D90" s="61">
        <v>179</v>
      </c>
      <c r="E90" s="62" t="s">
        <v>8</v>
      </c>
      <c r="F90" s="60" t="s">
        <v>167</v>
      </c>
      <c r="G90" s="60" t="s">
        <v>168</v>
      </c>
      <c r="H90" s="63"/>
      <c r="I90" s="63"/>
    </row>
    <row r="91" customFormat="1" ht="100" customHeight="1" spans="1:9">
      <c r="A91" s="65">
        <v>8625007</v>
      </c>
      <c r="B91" s="66" t="s">
        <v>161</v>
      </c>
      <c r="C91" s="54">
        <v>199</v>
      </c>
      <c r="D91" s="67">
        <v>169</v>
      </c>
      <c r="E91" s="68" t="s">
        <v>8</v>
      </c>
      <c r="F91" s="54" t="s">
        <v>169</v>
      </c>
      <c r="G91" s="54" t="s">
        <v>170</v>
      </c>
      <c r="H91" s="63"/>
      <c r="I91" s="63"/>
    </row>
    <row r="92" customFormat="1" ht="100" customHeight="1" spans="1:9">
      <c r="A92" s="65">
        <v>8625006</v>
      </c>
      <c r="B92" s="66" t="s">
        <v>161</v>
      </c>
      <c r="C92" s="54">
        <v>199</v>
      </c>
      <c r="D92" s="67">
        <v>179</v>
      </c>
      <c r="E92" s="68" t="s">
        <v>8</v>
      </c>
      <c r="F92" s="54" t="s">
        <v>171</v>
      </c>
      <c r="G92" s="54" t="s">
        <v>172</v>
      </c>
      <c r="H92" s="63"/>
      <c r="I92" s="63"/>
    </row>
    <row r="93" customFormat="1" ht="100" customHeight="1" spans="1:9">
      <c r="A93" s="58">
        <v>8620055</v>
      </c>
      <c r="B93" s="10" t="s">
        <v>161</v>
      </c>
      <c r="C93" s="10">
        <v>199</v>
      </c>
      <c r="D93" s="74">
        <v>169</v>
      </c>
      <c r="E93" s="75" t="s">
        <v>8</v>
      </c>
      <c r="F93" s="10" t="s">
        <v>173</v>
      </c>
      <c r="G93" s="10" t="s">
        <v>174</v>
      </c>
      <c r="H93" s="63"/>
      <c r="I93" s="63"/>
    </row>
    <row r="94" customFormat="1" ht="100" customHeight="1" spans="1:9">
      <c r="A94" s="58">
        <v>8625004</v>
      </c>
      <c r="B94" s="10" t="s">
        <v>161</v>
      </c>
      <c r="C94" s="10">
        <v>229</v>
      </c>
      <c r="D94" s="74">
        <v>189</v>
      </c>
      <c r="E94" s="75" t="s">
        <v>8</v>
      </c>
      <c r="F94" s="10" t="s">
        <v>175</v>
      </c>
      <c r="G94" s="10" t="s">
        <v>49</v>
      </c>
      <c r="H94" s="63"/>
      <c r="I94" s="63"/>
    </row>
    <row r="95" customFormat="1" ht="100" customHeight="1" spans="1:9">
      <c r="A95" s="58">
        <v>8529073</v>
      </c>
      <c r="B95" s="7" t="s">
        <v>176</v>
      </c>
      <c r="C95" s="10" t="s">
        <v>177</v>
      </c>
      <c r="D95" s="74">
        <v>129</v>
      </c>
      <c r="E95" s="75" t="s">
        <v>178</v>
      </c>
      <c r="F95" s="10" t="s">
        <v>179</v>
      </c>
      <c r="G95" s="10" t="s">
        <v>180</v>
      </c>
      <c r="H95" s="63"/>
      <c r="I95" s="63"/>
    </row>
    <row r="96" customFormat="1" ht="100" customHeight="1" spans="1:9">
      <c r="A96" s="77">
        <v>8519016</v>
      </c>
      <c r="B96" s="78" t="s">
        <v>176</v>
      </c>
      <c r="C96" s="33">
        <v>139</v>
      </c>
      <c r="D96" s="74">
        <v>99</v>
      </c>
      <c r="E96" s="75" t="s">
        <v>8</v>
      </c>
      <c r="F96" s="33" t="s">
        <v>181</v>
      </c>
      <c r="G96" s="33" t="s">
        <v>182</v>
      </c>
      <c r="H96" s="63"/>
      <c r="I96" s="63"/>
    </row>
    <row r="97" customFormat="1" ht="100" customHeight="1" spans="1:10">
      <c r="A97" s="58">
        <v>8629040</v>
      </c>
      <c r="B97" s="10" t="s">
        <v>176</v>
      </c>
      <c r="C97" s="10">
        <v>259</v>
      </c>
      <c r="D97" s="74">
        <v>199</v>
      </c>
      <c r="E97" s="75" t="s">
        <v>8</v>
      </c>
      <c r="F97" s="10" t="s">
        <v>183</v>
      </c>
      <c r="G97" s="10" t="s">
        <v>184</v>
      </c>
      <c r="H97" s="63"/>
      <c r="I97" s="63"/>
    </row>
    <row r="98" customFormat="1" ht="100" customHeight="1" spans="1:10">
      <c r="A98" s="58">
        <v>8629108</v>
      </c>
      <c r="B98" s="10" t="s">
        <v>176</v>
      </c>
      <c r="C98" s="10">
        <v>269</v>
      </c>
      <c r="D98" s="74">
        <v>199</v>
      </c>
      <c r="E98" s="75" t="s">
        <v>8</v>
      </c>
      <c r="F98" s="10" t="s">
        <v>185</v>
      </c>
      <c r="G98" s="10" t="s">
        <v>186</v>
      </c>
      <c r="H98" s="63"/>
      <c r="I98" s="63"/>
    </row>
    <row r="99" customFormat="1" ht="100" customHeight="1" spans="1:10">
      <c r="A99" s="58">
        <v>8529039</v>
      </c>
      <c r="B99" s="7" t="s">
        <v>176</v>
      </c>
      <c r="C99" s="10">
        <v>189</v>
      </c>
      <c r="D99" s="74">
        <v>169</v>
      </c>
      <c r="E99" s="75" t="s">
        <v>8</v>
      </c>
      <c r="F99" s="10" t="s">
        <v>187</v>
      </c>
      <c r="G99" s="10" t="s">
        <v>188</v>
      </c>
      <c r="H99" s="63"/>
      <c r="I99" s="63"/>
    </row>
    <row r="100" customFormat="1" ht="100" customHeight="1" spans="1:10">
      <c r="A100" s="58">
        <v>8529067</v>
      </c>
      <c r="B100" s="7" t="s">
        <v>176</v>
      </c>
      <c r="C100" s="10">
        <v>229</v>
      </c>
      <c r="D100" s="74">
        <v>139</v>
      </c>
      <c r="E100" s="75" t="s">
        <v>8</v>
      </c>
      <c r="F100" s="10" t="s">
        <v>189</v>
      </c>
      <c r="G100" s="10" t="s">
        <v>190</v>
      </c>
      <c r="H100" s="63"/>
      <c r="I100" s="63"/>
    </row>
    <row r="101" customFormat="1" ht="100" customHeight="1" spans="1:10">
      <c r="A101" s="83">
        <v>8629078</v>
      </c>
      <c r="B101" s="7" t="s">
        <v>176</v>
      </c>
      <c r="C101" s="10">
        <v>259</v>
      </c>
      <c r="D101" s="74">
        <v>179</v>
      </c>
      <c r="E101" s="75" t="s">
        <v>8</v>
      </c>
      <c r="F101" s="10" t="s">
        <v>191</v>
      </c>
      <c r="G101" s="10" t="s">
        <v>192</v>
      </c>
      <c r="H101" s="63"/>
      <c r="I101" s="63"/>
    </row>
    <row r="102" customFormat="1" ht="100" customHeight="1" spans="1:10">
      <c r="A102" s="58">
        <v>8629053</v>
      </c>
      <c r="B102" s="7" t="s">
        <v>176</v>
      </c>
      <c r="C102" s="10">
        <v>299</v>
      </c>
      <c r="D102" s="74">
        <v>249</v>
      </c>
      <c r="E102" s="75" t="s">
        <v>8</v>
      </c>
      <c r="F102" s="10" t="s">
        <v>193</v>
      </c>
      <c r="G102" s="10"/>
      <c r="H102" s="63"/>
      <c r="I102" s="63"/>
    </row>
    <row r="103" customFormat="1" ht="100" customHeight="1" spans="1:10">
      <c r="A103" s="52">
        <v>8639004</v>
      </c>
      <c r="B103" s="53" t="s">
        <v>176</v>
      </c>
      <c r="C103" s="54">
        <v>309</v>
      </c>
      <c r="D103" s="55">
        <v>289</v>
      </c>
      <c r="E103" s="56" t="s">
        <v>8</v>
      </c>
      <c r="F103" s="57" t="s">
        <v>194</v>
      </c>
      <c r="G103" s="54" t="s">
        <v>195</v>
      </c>
      <c r="H103" s="63"/>
      <c r="I103" s="63"/>
    </row>
    <row r="104" customFormat="1" ht="100" customHeight="1" spans="1:10">
      <c r="A104" s="65">
        <v>8639001</v>
      </c>
      <c r="B104" s="66" t="s">
        <v>176</v>
      </c>
      <c r="C104" s="54">
        <v>289</v>
      </c>
      <c r="D104" s="67">
        <v>269</v>
      </c>
      <c r="E104" s="68" t="s">
        <v>8</v>
      </c>
      <c r="F104" s="54" t="s">
        <v>196</v>
      </c>
      <c r="G104" s="54" t="s">
        <v>197</v>
      </c>
      <c r="H104" s="63"/>
      <c r="I104" s="63"/>
    </row>
    <row r="105" customFormat="1" ht="100" customHeight="1" spans="1:10">
      <c r="A105" s="83">
        <v>8629005</v>
      </c>
      <c r="B105" s="7" t="s">
        <v>176</v>
      </c>
      <c r="C105" s="10">
        <v>499</v>
      </c>
      <c r="D105" s="74">
        <v>259</v>
      </c>
      <c r="E105" s="75" t="s">
        <v>8</v>
      </c>
      <c r="F105" s="10"/>
      <c r="G105" s="10"/>
      <c r="H105" s="63"/>
      <c r="I105" s="63"/>
    </row>
    <row r="106" customFormat="1" ht="100" customHeight="1" spans="1:10">
      <c r="A106" s="65">
        <v>8629111</v>
      </c>
      <c r="B106" s="66" t="s">
        <v>176</v>
      </c>
      <c r="C106" s="54">
        <v>219</v>
      </c>
      <c r="D106" s="67">
        <v>199</v>
      </c>
      <c r="E106" s="56" t="s">
        <v>8</v>
      </c>
      <c r="F106" s="54" t="s">
        <v>198</v>
      </c>
      <c r="G106" s="54" t="s">
        <v>199</v>
      </c>
      <c r="H106" s="63"/>
      <c r="I106" s="63"/>
    </row>
    <row r="107" customFormat="1" ht="100" customHeight="1" spans="1:10">
      <c r="A107" s="83">
        <v>8629057</v>
      </c>
      <c r="B107" s="7" t="s">
        <v>176</v>
      </c>
      <c r="C107" s="10">
        <v>289</v>
      </c>
      <c r="D107" s="74">
        <v>199</v>
      </c>
      <c r="E107" s="75" t="s">
        <v>8</v>
      </c>
      <c r="F107" s="10" t="s">
        <v>200</v>
      </c>
      <c r="G107" s="10" t="s">
        <v>201</v>
      </c>
      <c r="H107" s="63"/>
      <c r="I107" s="63"/>
    </row>
    <row r="108" s="44" customFormat="1" ht="100" customHeight="1" spans="1:10">
      <c r="A108" s="58">
        <v>8629140</v>
      </c>
      <c r="B108" s="10" t="s">
        <v>176</v>
      </c>
      <c r="C108" s="10">
        <v>259</v>
      </c>
      <c r="D108" s="74">
        <v>159</v>
      </c>
      <c r="E108" s="75" t="s">
        <v>8</v>
      </c>
      <c r="F108" s="10" t="s">
        <v>202</v>
      </c>
      <c r="G108" s="10" t="s">
        <v>203</v>
      </c>
      <c r="H108" s="63"/>
      <c r="I108" s="63"/>
      <c r="J108"/>
    </row>
    <row r="109" s="44" customFormat="1" ht="100" customHeight="1" spans="1:10">
      <c r="A109" s="65">
        <v>8629130</v>
      </c>
      <c r="B109" s="66" t="s">
        <v>176</v>
      </c>
      <c r="C109" s="54">
        <v>189</v>
      </c>
      <c r="D109" s="67">
        <v>139</v>
      </c>
      <c r="E109" s="56" t="s">
        <v>8</v>
      </c>
      <c r="F109" s="54" t="s">
        <v>204</v>
      </c>
      <c r="G109" s="54" t="s">
        <v>205</v>
      </c>
      <c r="H109" s="63"/>
      <c r="I109" s="63"/>
      <c r="J109"/>
    </row>
    <row r="110" s="44" customFormat="1" ht="100" customHeight="1" spans="1:10">
      <c r="A110" s="58">
        <v>8629135</v>
      </c>
      <c r="B110" s="10" t="s">
        <v>176</v>
      </c>
      <c r="C110" s="10">
        <v>229</v>
      </c>
      <c r="D110" s="74">
        <v>129</v>
      </c>
      <c r="E110" s="75" t="s">
        <v>8</v>
      </c>
      <c r="F110" s="10" t="s">
        <v>206</v>
      </c>
      <c r="G110" s="10" t="s">
        <v>207</v>
      </c>
      <c r="H110" s="63"/>
      <c r="I110" s="63"/>
      <c r="J110"/>
    </row>
    <row r="111" customFormat="1" ht="100" customHeight="1" spans="1:10">
      <c r="A111" s="65">
        <v>8629131</v>
      </c>
      <c r="B111" s="66" t="s">
        <v>176</v>
      </c>
      <c r="C111" s="54">
        <v>259</v>
      </c>
      <c r="D111" s="67">
        <v>199</v>
      </c>
      <c r="E111" s="56" t="s">
        <v>8</v>
      </c>
      <c r="F111" s="54" t="s">
        <v>208</v>
      </c>
      <c r="G111" s="54" t="s">
        <v>209</v>
      </c>
      <c r="H111" s="63"/>
      <c r="I111" s="63"/>
    </row>
    <row r="112" customFormat="1" ht="100" customHeight="1" spans="1:10">
      <c r="A112" s="65">
        <v>8629128</v>
      </c>
      <c r="B112" s="66" t="s">
        <v>176</v>
      </c>
      <c r="C112" s="54">
        <v>189</v>
      </c>
      <c r="D112" s="67">
        <v>139</v>
      </c>
      <c r="E112" s="56" t="s">
        <v>8</v>
      </c>
      <c r="F112" s="54" t="s">
        <v>210</v>
      </c>
      <c r="G112" s="54" t="s">
        <v>60</v>
      </c>
      <c r="H112" s="63"/>
      <c r="I112" s="63"/>
    </row>
    <row r="113" customFormat="1" ht="100" customHeight="1" spans="1:10">
      <c r="A113" s="58">
        <v>8629012</v>
      </c>
      <c r="B113" s="10" t="s">
        <v>176</v>
      </c>
      <c r="C113" s="10">
        <v>209</v>
      </c>
      <c r="D113" s="74">
        <v>119</v>
      </c>
      <c r="E113" s="75" t="s">
        <v>178</v>
      </c>
      <c r="F113" s="10" t="s">
        <v>211</v>
      </c>
      <c r="G113" s="10" t="s">
        <v>207</v>
      </c>
      <c r="H113" s="63"/>
      <c r="I113" s="63"/>
    </row>
    <row r="114" customFormat="1" ht="100" customHeight="1" spans="1:10">
      <c r="A114" s="58">
        <v>8629123</v>
      </c>
      <c r="B114" s="10" t="s">
        <v>176</v>
      </c>
      <c r="C114" s="10">
        <v>269</v>
      </c>
      <c r="D114" s="74">
        <v>139</v>
      </c>
      <c r="E114" s="75" t="s">
        <v>8</v>
      </c>
      <c r="F114" s="10" t="s">
        <v>212</v>
      </c>
      <c r="G114" s="10" t="s">
        <v>213</v>
      </c>
      <c r="H114" s="63"/>
      <c r="I114" s="63"/>
    </row>
    <row r="115" customFormat="1" ht="100" customHeight="1" spans="1:10">
      <c r="A115" s="58">
        <v>8639003</v>
      </c>
      <c r="B115" s="59" t="s">
        <v>176</v>
      </c>
      <c r="C115" s="60">
        <v>289</v>
      </c>
      <c r="D115" s="61">
        <v>269</v>
      </c>
      <c r="E115" s="62" t="s">
        <v>8</v>
      </c>
      <c r="F115" s="60" t="s">
        <v>214</v>
      </c>
      <c r="G115" s="60" t="s">
        <v>215</v>
      </c>
      <c r="H115" s="63"/>
      <c r="I115" s="63"/>
    </row>
    <row r="116" customFormat="1" ht="100" customHeight="1" spans="1:10">
      <c r="A116" s="58">
        <v>8629003</v>
      </c>
      <c r="B116" s="7" t="s">
        <v>176</v>
      </c>
      <c r="C116" s="10">
        <v>0</v>
      </c>
      <c r="D116" s="74">
        <v>199</v>
      </c>
      <c r="E116" s="75" t="s">
        <v>8</v>
      </c>
      <c r="F116" s="10">
        <v>0</v>
      </c>
      <c r="G116" s="10">
        <v>0</v>
      </c>
      <c r="H116" s="63"/>
      <c r="I116" s="63"/>
    </row>
    <row r="117" customFormat="1" ht="100" customHeight="1" spans="1:10">
      <c r="A117" s="58">
        <v>8620089</v>
      </c>
      <c r="B117" s="10" t="s">
        <v>216</v>
      </c>
      <c r="C117" s="10">
        <v>159</v>
      </c>
      <c r="D117" s="74">
        <v>99</v>
      </c>
      <c r="E117" s="75" t="s">
        <v>8</v>
      </c>
      <c r="F117" s="10" t="s">
        <v>217</v>
      </c>
      <c r="G117" s="10" t="s">
        <v>218</v>
      </c>
      <c r="H117" s="63"/>
      <c r="I117" s="63"/>
    </row>
    <row r="118" customFormat="1" ht="100" customHeight="1" spans="1:10">
      <c r="A118" s="58">
        <v>8620096</v>
      </c>
      <c r="B118" s="10" t="s">
        <v>216</v>
      </c>
      <c r="C118" s="10">
        <v>109</v>
      </c>
      <c r="D118" s="74">
        <v>89</v>
      </c>
      <c r="E118" s="75" t="s">
        <v>8</v>
      </c>
      <c r="F118" s="10" t="s">
        <v>219</v>
      </c>
      <c r="G118" s="10" t="s">
        <v>220</v>
      </c>
      <c r="H118" s="63"/>
      <c r="I118" s="63"/>
    </row>
    <row r="119" customFormat="1" ht="100" customHeight="1" spans="1:10">
      <c r="A119" s="58">
        <v>8620018</v>
      </c>
      <c r="B119" s="7" t="s">
        <v>216</v>
      </c>
      <c r="C119" s="10">
        <v>0</v>
      </c>
      <c r="D119" s="74">
        <v>59</v>
      </c>
      <c r="E119" s="75" t="s">
        <v>8</v>
      </c>
      <c r="F119" s="10">
        <v>0</v>
      </c>
      <c r="G119" s="10">
        <v>0</v>
      </c>
      <c r="H119" s="63"/>
      <c r="I119" s="63"/>
    </row>
    <row r="120" customFormat="1" ht="100" customHeight="1" spans="1:10">
      <c r="A120" s="58">
        <v>8635015</v>
      </c>
      <c r="B120" s="59" t="s">
        <v>221</v>
      </c>
      <c r="C120" s="60">
        <v>289</v>
      </c>
      <c r="D120" s="61">
        <v>269</v>
      </c>
      <c r="E120" s="62" t="s">
        <v>8</v>
      </c>
      <c r="F120" s="60" t="s">
        <v>222</v>
      </c>
      <c r="G120" s="60" t="s">
        <v>223</v>
      </c>
      <c r="H120" s="63"/>
      <c r="I120" s="63"/>
    </row>
    <row r="121" customFormat="1" ht="100" customHeight="1" spans="1:10">
      <c r="A121" s="65">
        <v>8620025</v>
      </c>
      <c r="B121" s="66" t="s">
        <v>216</v>
      </c>
      <c r="C121" s="54">
        <v>159</v>
      </c>
      <c r="D121" s="80">
        <v>79</v>
      </c>
      <c r="E121" s="68" t="s">
        <v>8</v>
      </c>
      <c r="F121" s="54">
        <v>0</v>
      </c>
      <c r="G121" s="54" t="s">
        <v>224</v>
      </c>
      <c r="H121" s="63"/>
      <c r="I121" s="63"/>
    </row>
    <row r="122" customFormat="1" ht="100" customHeight="1" spans="1:10">
      <c r="A122" s="58">
        <v>8632011</v>
      </c>
      <c r="B122" s="59" t="s">
        <v>221</v>
      </c>
      <c r="C122" s="60">
        <v>199</v>
      </c>
      <c r="D122" s="61">
        <v>179</v>
      </c>
      <c r="E122" s="62" t="s">
        <v>8</v>
      </c>
      <c r="F122" s="60" t="s">
        <v>225</v>
      </c>
      <c r="G122" s="60" t="s">
        <v>226</v>
      </c>
      <c r="H122" s="63"/>
      <c r="I122" s="63"/>
    </row>
    <row r="123" customFormat="1" ht="100" customHeight="1" spans="1:10">
      <c r="A123" s="69">
        <v>8622002</v>
      </c>
      <c r="B123" s="70" t="s">
        <v>221</v>
      </c>
      <c r="C123" s="54">
        <v>209</v>
      </c>
      <c r="D123" s="80">
        <v>179</v>
      </c>
      <c r="E123" s="68" t="s">
        <v>8</v>
      </c>
      <c r="F123" s="54">
        <v>0</v>
      </c>
      <c r="G123" s="54" t="s">
        <v>227</v>
      </c>
      <c r="H123" s="63"/>
      <c r="I123" s="63"/>
    </row>
    <row r="124" customFormat="1" ht="100" customHeight="1" spans="1:10">
      <c r="A124" s="58">
        <v>8512042</v>
      </c>
      <c r="B124" s="7" t="s">
        <v>221</v>
      </c>
      <c r="C124" s="10">
        <v>169</v>
      </c>
      <c r="D124" s="74">
        <v>129</v>
      </c>
      <c r="E124" s="75" t="s">
        <v>8</v>
      </c>
      <c r="F124" s="10" t="s">
        <v>228</v>
      </c>
      <c r="G124" s="10" t="s">
        <v>229</v>
      </c>
      <c r="H124" s="63"/>
      <c r="I124" s="63"/>
    </row>
    <row r="125" s="44" customFormat="1" ht="100" customHeight="1" spans="1:10">
      <c r="A125" s="77">
        <v>8622009</v>
      </c>
      <c r="B125" s="78" t="s">
        <v>221</v>
      </c>
      <c r="C125" s="38">
        <v>179</v>
      </c>
      <c r="D125" s="74">
        <v>129</v>
      </c>
      <c r="E125" s="75" t="s">
        <v>8</v>
      </c>
      <c r="F125" s="79"/>
      <c r="G125" s="33" t="s">
        <v>201</v>
      </c>
      <c r="H125" s="63"/>
      <c r="I125" s="63"/>
      <c r="J125"/>
    </row>
    <row r="126" customFormat="1" ht="100" customHeight="1" spans="1:10">
      <c r="A126" s="58">
        <v>8512052</v>
      </c>
      <c r="B126" s="7" t="s">
        <v>221</v>
      </c>
      <c r="C126" s="10">
        <v>139</v>
      </c>
      <c r="D126" s="74">
        <v>139</v>
      </c>
      <c r="E126" s="75" t="s">
        <v>8</v>
      </c>
      <c r="F126" s="10" t="s">
        <v>230</v>
      </c>
      <c r="G126" s="10" t="s">
        <v>49</v>
      </c>
      <c r="H126" s="63"/>
      <c r="I126" s="63"/>
    </row>
    <row r="127" s="44" customFormat="1" ht="100" customHeight="1" spans="1:10">
      <c r="A127" s="77">
        <v>8512801</v>
      </c>
      <c r="B127" s="78" t="s">
        <v>221</v>
      </c>
      <c r="C127" s="33">
        <v>119</v>
      </c>
      <c r="D127" s="74">
        <v>89</v>
      </c>
      <c r="E127" s="75" t="s">
        <v>8</v>
      </c>
      <c r="F127" s="33" t="s">
        <v>231</v>
      </c>
      <c r="G127" s="33" t="s">
        <v>232</v>
      </c>
      <c r="H127" s="63"/>
      <c r="I127" s="63"/>
      <c r="J127"/>
    </row>
    <row r="128" s="44" customFormat="1" ht="100" customHeight="1" spans="1:10">
      <c r="A128" s="77">
        <v>8512017</v>
      </c>
      <c r="B128" s="78" t="s">
        <v>221</v>
      </c>
      <c r="C128" s="33">
        <v>179</v>
      </c>
      <c r="D128" s="74">
        <v>139</v>
      </c>
      <c r="E128" s="75" t="s">
        <v>8</v>
      </c>
      <c r="F128" s="33" t="s">
        <v>233</v>
      </c>
      <c r="G128" s="33" t="s">
        <v>49</v>
      </c>
      <c r="H128" s="63"/>
      <c r="I128" s="63"/>
      <c r="J128"/>
    </row>
    <row r="129" s="44" customFormat="1" ht="100" customHeight="1" spans="1:10">
      <c r="A129" s="77">
        <v>8512022</v>
      </c>
      <c r="B129" s="78" t="s">
        <v>221</v>
      </c>
      <c r="C129" s="33">
        <v>199</v>
      </c>
      <c r="D129" s="74">
        <v>179</v>
      </c>
      <c r="E129" s="75" t="s">
        <v>8</v>
      </c>
      <c r="F129" s="33" t="s">
        <v>234</v>
      </c>
      <c r="G129" s="33" t="s">
        <v>235</v>
      </c>
      <c r="H129" s="63"/>
      <c r="I129" s="63"/>
      <c r="J129"/>
    </row>
    <row r="130" s="44" customFormat="1" ht="100" customHeight="1" spans="1:10">
      <c r="A130" s="58">
        <v>8632017</v>
      </c>
      <c r="B130" s="59" t="s">
        <v>221</v>
      </c>
      <c r="C130" s="60">
        <v>239</v>
      </c>
      <c r="D130" s="61">
        <v>219</v>
      </c>
      <c r="E130" s="62" t="s">
        <v>8</v>
      </c>
      <c r="F130" s="60" t="s">
        <v>236</v>
      </c>
      <c r="G130" s="60" t="s">
        <v>237</v>
      </c>
      <c r="H130" s="63"/>
      <c r="I130" s="63"/>
      <c r="J130"/>
    </row>
    <row r="131" s="44" customFormat="1" ht="100" customHeight="1" spans="1:10">
      <c r="A131" s="52">
        <v>8632016</v>
      </c>
      <c r="B131" s="53" t="s">
        <v>221</v>
      </c>
      <c r="C131" s="54">
        <v>189</v>
      </c>
      <c r="D131" s="55">
        <v>169</v>
      </c>
      <c r="E131" s="56" t="s">
        <v>8</v>
      </c>
      <c r="F131" s="57" t="s">
        <v>238</v>
      </c>
      <c r="G131" s="54" t="s">
        <v>239</v>
      </c>
      <c r="H131" s="63"/>
      <c r="I131" s="63"/>
      <c r="J131"/>
    </row>
    <row r="132" s="44" customFormat="1" ht="100" customHeight="1" spans="1:10">
      <c r="A132" s="52">
        <v>8632019</v>
      </c>
      <c r="B132" s="53" t="s">
        <v>221</v>
      </c>
      <c r="C132" s="54">
        <v>229</v>
      </c>
      <c r="D132" s="55">
        <v>209</v>
      </c>
      <c r="E132" s="56" t="s">
        <v>8</v>
      </c>
      <c r="F132" s="57" t="s">
        <v>240</v>
      </c>
      <c r="G132" s="54" t="s">
        <v>241</v>
      </c>
      <c r="H132" s="63"/>
      <c r="I132" s="63"/>
      <c r="J132"/>
    </row>
    <row r="133" s="44" customFormat="1" ht="100" customHeight="1" spans="1:10">
      <c r="A133" s="69">
        <v>8632013</v>
      </c>
      <c r="B133" s="70" t="s">
        <v>221</v>
      </c>
      <c r="C133" s="54">
        <v>199</v>
      </c>
      <c r="D133" s="67">
        <v>179</v>
      </c>
      <c r="E133" s="68" t="s">
        <v>8</v>
      </c>
      <c r="F133" s="54" t="s">
        <v>242</v>
      </c>
      <c r="G133" s="54" t="s">
        <v>243</v>
      </c>
      <c r="H133" s="63"/>
      <c r="I133" s="63"/>
      <c r="J133"/>
    </row>
    <row r="134" s="44" customFormat="1" ht="100" customHeight="1" spans="1:10">
      <c r="A134" s="77">
        <v>8612024</v>
      </c>
      <c r="B134" s="78" t="s">
        <v>221</v>
      </c>
      <c r="C134" s="38">
        <v>249</v>
      </c>
      <c r="D134" s="74">
        <v>199</v>
      </c>
      <c r="E134" s="75" t="s">
        <v>8</v>
      </c>
      <c r="F134" s="79" t="s">
        <v>244</v>
      </c>
      <c r="G134" s="33">
        <v>0</v>
      </c>
      <c r="H134" s="63"/>
      <c r="I134" s="63"/>
      <c r="J134"/>
    </row>
    <row r="135" s="43" customFormat="1" ht="100" customHeight="1" spans="1:10">
      <c r="A135" s="58">
        <v>8632014</v>
      </c>
      <c r="B135" s="59" t="s">
        <v>221</v>
      </c>
      <c r="C135" s="60">
        <v>209</v>
      </c>
      <c r="D135" s="61">
        <v>189</v>
      </c>
      <c r="E135" s="62" t="s">
        <v>8</v>
      </c>
      <c r="F135" s="60" t="s">
        <v>191</v>
      </c>
      <c r="G135" s="60" t="s">
        <v>245</v>
      </c>
      <c r="H135" s="63"/>
      <c r="I135" s="63"/>
      <c r="J135"/>
    </row>
    <row r="136" customFormat="1" ht="100" customHeight="1" spans="1:10">
      <c r="A136" s="58">
        <v>8632009</v>
      </c>
      <c r="B136" s="59" t="s">
        <v>221</v>
      </c>
      <c r="C136" s="60">
        <v>219</v>
      </c>
      <c r="D136" s="61">
        <v>199</v>
      </c>
      <c r="E136" s="62" t="s">
        <v>8</v>
      </c>
      <c r="F136" s="60" t="s">
        <v>246</v>
      </c>
      <c r="G136" s="60" t="s">
        <v>247</v>
      </c>
      <c r="H136" s="63"/>
      <c r="I136" s="63"/>
    </row>
    <row r="137" ht="100" customHeight="1" spans="1:10">
      <c r="A137" s="77">
        <v>8612019</v>
      </c>
      <c r="B137" s="78" t="s">
        <v>221</v>
      </c>
      <c r="C137" s="38">
        <v>209</v>
      </c>
      <c r="D137" s="74">
        <v>149</v>
      </c>
      <c r="E137" s="75" t="s">
        <v>8</v>
      </c>
      <c r="F137" s="79" t="s">
        <v>248</v>
      </c>
      <c r="G137" s="33">
        <v>0</v>
      </c>
      <c r="H137" s="63"/>
      <c r="I137" s="63"/>
      <c r="J137"/>
    </row>
    <row r="138" customFormat="1" ht="100" customHeight="1" spans="1:10">
      <c r="A138" s="58">
        <v>8632015</v>
      </c>
      <c r="B138" s="59" t="s">
        <v>221</v>
      </c>
      <c r="C138" s="60">
        <v>169</v>
      </c>
      <c r="D138" s="61">
        <v>149</v>
      </c>
      <c r="E138" s="62" t="s">
        <v>8</v>
      </c>
      <c r="F138" s="60" t="s">
        <v>249</v>
      </c>
      <c r="G138" s="60" t="s">
        <v>250</v>
      </c>
      <c r="H138" s="63"/>
      <c r="I138" s="63"/>
    </row>
    <row r="139" customFormat="1" ht="100" customHeight="1" spans="1:10">
      <c r="A139" s="58">
        <v>8522012</v>
      </c>
      <c r="B139" s="7" t="s">
        <v>221</v>
      </c>
      <c r="C139" s="10">
        <v>179</v>
      </c>
      <c r="D139" s="74">
        <v>149</v>
      </c>
      <c r="E139" s="75" t="s">
        <v>8</v>
      </c>
      <c r="F139" s="10" t="s">
        <v>251</v>
      </c>
      <c r="G139" s="10" t="s">
        <v>252</v>
      </c>
      <c r="H139" s="63"/>
      <c r="I139" s="63"/>
    </row>
    <row r="140" s="44" customFormat="1" ht="100" customHeight="1" spans="1:10">
      <c r="A140" s="77">
        <v>8612009</v>
      </c>
      <c r="B140" s="78" t="s">
        <v>221</v>
      </c>
      <c r="C140" s="38">
        <v>219</v>
      </c>
      <c r="D140" s="74">
        <v>169</v>
      </c>
      <c r="E140" s="75" t="s">
        <v>8</v>
      </c>
      <c r="F140" s="79" t="s">
        <v>253</v>
      </c>
      <c r="G140" s="33">
        <v>0</v>
      </c>
      <c r="H140" s="63"/>
      <c r="I140" s="63"/>
      <c r="J140"/>
    </row>
    <row r="141" customFormat="1" ht="100" customHeight="1" spans="1:10">
      <c r="A141" s="58">
        <v>8622035</v>
      </c>
      <c r="B141" s="10" t="s">
        <v>221</v>
      </c>
      <c r="C141" s="10">
        <v>199</v>
      </c>
      <c r="D141" s="74">
        <v>109</v>
      </c>
      <c r="E141" s="75" t="s">
        <v>8</v>
      </c>
      <c r="F141" s="10" t="s">
        <v>254</v>
      </c>
      <c r="G141" s="10" t="s">
        <v>255</v>
      </c>
      <c r="H141" s="63"/>
      <c r="I141" s="63"/>
    </row>
    <row r="142" customFormat="1" ht="100" customHeight="1" spans="1:10">
      <c r="A142" s="69">
        <v>8622037</v>
      </c>
      <c r="B142" s="70" t="s">
        <v>221</v>
      </c>
      <c r="C142" s="54">
        <v>149</v>
      </c>
      <c r="D142" s="67">
        <v>99</v>
      </c>
      <c r="E142" s="56" t="s">
        <v>8</v>
      </c>
      <c r="F142" s="54" t="s">
        <v>204</v>
      </c>
      <c r="G142" s="54" t="s">
        <v>205</v>
      </c>
      <c r="H142" s="63"/>
      <c r="I142" s="63"/>
    </row>
    <row r="143" customFormat="1" ht="100" customHeight="1" spans="1:10">
      <c r="A143" s="84">
        <v>8620024</v>
      </c>
      <c r="B143" s="70" t="s">
        <v>256</v>
      </c>
      <c r="C143" s="54">
        <v>229</v>
      </c>
      <c r="D143" s="71">
        <v>179</v>
      </c>
      <c r="E143" s="68" t="s">
        <v>8</v>
      </c>
      <c r="F143" s="54">
        <v>0</v>
      </c>
      <c r="G143" s="54" t="s">
        <v>224</v>
      </c>
      <c r="H143" s="63"/>
      <c r="I143" s="63"/>
    </row>
    <row r="144" customFormat="1" ht="100" customHeight="1" spans="1:10">
      <c r="A144" s="58">
        <v>8620019</v>
      </c>
      <c r="B144" s="7" t="s">
        <v>256</v>
      </c>
      <c r="C144" s="10">
        <v>0</v>
      </c>
      <c r="D144" s="74">
        <v>129</v>
      </c>
      <c r="E144" s="75" t="s">
        <v>8</v>
      </c>
      <c r="F144" s="10">
        <v>0</v>
      </c>
      <c r="G144" s="10">
        <v>0</v>
      </c>
      <c r="H144" s="63"/>
      <c r="I144" s="63"/>
    </row>
    <row r="145" ht="100" customHeight="1" spans="1:10">
      <c r="A145" s="58">
        <v>8620803</v>
      </c>
      <c r="B145" s="7" t="s">
        <v>256</v>
      </c>
      <c r="C145" s="10">
        <v>0</v>
      </c>
      <c r="D145" s="74">
        <v>169</v>
      </c>
      <c r="E145" s="75" t="s">
        <v>8</v>
      </c>
      <c r="F145" s="10">
        <v>0</v>
      </c>
      <c r="G145" s="10">
        <v>0</v>
      </c>
      <c r="H145" s="63"/>
      <c r="I145" s="63"/>
      <c r="J145"/>
    </row>
    <row r="146" customFormat="1" ht="100" customHeight="1" spans="1:10">
      <c r="A146" s="77">
        <v>8620033</v>
      </c>
      <c r="B146" s="78" t="s">
        <v>256</v>
      </c>
      <c r="C146" s="33">
        <v>189</v>
      </c>
      <c r="D146" s="74">
        <v>159</v>
      </c>
      <c r="E146" s="75" t="s">
        <v>8</v>
      </c>
      <c r="F146" s="33" t="s">
        <v>257</v>
      </c>
      <c r="G146" s="33" t="s">
        <v>258</v>
      </c>
      <c r="H146" s="63"/>
      <c r="I146" s="63"/>
    </row>
    <row r="147" customFormat="1" ht="100" customHeight="1" spans="1:10">
      <c r="A147" s="58">
        <v>8630013</v>
      </c>
      <c r="B147" s="59" t="s">
        <v>256</v>
      </c>
      <c r="C147" s="60">
        <v>249</v>
      </c>
      <c r="D147" s="61">
        <v>229</v>
      </c>
      <c r="E147" s="62" t="s">
        <v>8</v>
      </c>
      <c r="F147" s="60" t="s">
        <v>171</v>
      </c>
      <c r="G147" s="60" t="s">
        <v>259</v>
      </c>
      <c r="H147" s="63"/>
      <c r="I147" s="63"/>
    </row>
    <row r="148" customFormat="1" ht="100" customHeight="1" spans="1:10">
      <c r="A148" s="58">
        <v>8620095</v>
      </c>
      <c r="B148" s="10" t="s">
        <v>256</v>
      </c>
      <c r="C148" s="10">
        <v>199</v>
      </c>
      <c r="D148" s="74">
        <v>129</v>
      </c>
      <c r="E148" s="75" t="s">
        <v>8</v>
      </c>
      <c r="F148" s="10" t="s">
        <v>260</v>
      </c>
      <c r="G148" s="10" t="s">
        <v>261</v>
      </c>
      <c r="H148" s="63"/>
      <c r="I148" s="63"/>
    </row>
    <row r="149" customFormat="1" ht="100" customHeight="1" spans="1:10">
      <c r="A149" s="52">
        <v>8630014</v>
      </c>
      <c r="B149" s="53" t="s">
        <v>256</v>
      </c>
      <c r="C149" s="54">
        <v>289</v>
      </c>
      <c r="D149" s="55">
        <v>269</v>
      </c>
      <c r="E149" s="56" t="s">
        <v>8</v>
      </c>
      <c r="F149" s="57" t="s">
        <v>82</v>
      </c>
      <c r="G149" s="54">
        <v>0</v>
      </c>
      <c r="H149" s="63"/>
      <c r="I149" s="63"/>
    </row>
    <row r="150" customFormat="1" ht="100" customHeight="1" spans="1:10">
      <c r="A150" s="77">
        <v>8620043</v>
      </c>
      <c r="B150" s="78" t="s">
        <v>256</v>
      </c>
      <c r="C150" s="33">
        <v>229</v>
      </c>
      <c r="D150" s="74">
        <v>159</v>
      </c>
      <c r="E150" s="75" t="s">
        <v>8</v>
      </c>
      <c r="F150" s="33" t="s">
        <v>200</v>
      </c>
      <c r="G150" s="33" t="s">
        <v>201</v>
      </c>
      <c r="H150" s="63"/>
      <c r="I150" s="63"/>
    </row>
    <row r="151" s="44" customFormat="1" ht="100" customHeight="1" spans="1:10">
      <c r="A151" s="58">
        <v>8620802</v>
      </c>
      <c r="B151" s="7" t="s">
        <v>256</v>
      </c>
      <c r="C151" s="10">
        <v>0</v>
      </c>
      <c r="D151" s="74">
        <v>169</v>
      </c>
      <c r="E151" s="75" t="s">
        <v>8</v>
      </c>
      <c r="F151" s="10">
        <v>0</v>
      </c>
      <c r="G151" s="10">
        <v>0</v>
      </c>
      <c r="H151" s="63"/>
      <c r="I151" s="63"/>
      <c r="J151"/>
    </row>
    <row r="152" customFormat="1" ht="100" customHeight="1" spans="1:10">
      <c r="A152" s="58">
        <v>8620141</v>
      </c>
      <c r="B152" s="10" t="s">
        <v>256</v>
      </c>
      <c r="C152" s="10">
        <v>189</v>
      </c>
      <c r="D152" s="74">
        <v>119</v>
      </c>
      <c r="E152" s="75" t="s">
        <v>8</v>
      </c>
      <c r="F152" s="10" t="s">
        <v>262</v>
      </c>
      <c r="G152" s="10" t="s">
        <v>263</v>
      </c>
      <c r="H152" s="63"/>
      <c r="I152" s="63"/>
    </row>
    <row r="153" customFormat="1" ht="100" customHeight="1" spans="1:10">
      <c r="A153" s="58">
        <v>8620137</v>
      </c>
      <c r="B153" s="10" t="s">
        <v>256</v>
      </c>
      <c r="C153" s="10">
        <v>199</v>
      </c>
      <c r="D153" s="74">
        <v>149</v>
      </c>
      <c r="E153" s="75" t="s">
        <v>8</v>
      </c>
      <c r="F153" s="10" t="s">
        <v>264</v>
      </c>
      <c r="G153" s="10" t="s">
        <v>265</v>
      </c>
      <c r="H153" s="63"/>
      <c r="I153" s="63"/>
    </row>
    <row r="154" customFormat="1" ht="100" customHeight="1" spans="1:10">
      <c r="A154" s="58">
        <v>8520803</v>
      </c>
      <c r="B154" s="7" t="s">
        <v>256</v>
      </c>
      <c r="C154" s="10">
        <v>179</v>
      </c>
      <c r="D154" s="74">
        <v>149</v>
      </c>
      <c r="E154" s="75" t="s">
        <v>8</v>
      </c>
      <c r="F154" s="10" t="s">
        <v>266</v>
      </c>
      <c r="G154" s="10" t="s">
        <v>267</v>
      </c>
      <c r="H154" s="63"/>
      <c r="I154" s="63"/>
    </row>
    <row r="155" customFormat="1" ht="100" customHeight="1" spans="1:10">
      <c r="A155" s="58">
        <v>8520006</v>
      </c>
      <c r="B155" s="7" t="s">
        <v>256</v>
      </c>
      <c r="C155" s="10">
        <v>189</v>
      </c>
      <c r="D155" s="74">
        <v>179</v>
      </c>
      <c r="E155" s="75" t="s">
        <v>8</v>
      </c>
      <c r="F155" s="10" t="s">
        <v>268</v>
      </c>
      <c r="G155" s="10" t="s">
        <v>269</v>
      </c>
      <c r="H155" s="63"/>
      <c r="I155" s="63"/>
    </row>
    <row r="156" customFormat="1" ht="100" customHeight="1" spans="1:10">
      <c r="A156" s="52">
        <v>8631801</v>
      </c>
      <c r="B156" s="53" t="s">
        <v>270</v>
      </c>
      <c r="C156" s="54">
        <v>139</v>
      </c>
      <c r="D156" s="55">
        <v>119</v>
      </c>
      <c r="E156" s="56" t="s">
        <v>8</v>
      </c>
      <c r="F156" s="57" t="s">
        <v>271</v>
      </c>
      <c r="G156" s="54"/>
      <c r="H156" s="63"/>
      <c r="I156" s="63"/>
    </row>
    <row r="157" customFormat="1" ht="100" customHeight="1" spans="1:10">
      <c r="A157" s="85">
        <v>8631009</v>
      </c>
      <c r="B157" s="53" t="s">
        <v>270</v>
      </c>
      <c r="C157" s="54">
        <v>119</v>
      </c>
      <c r="D157" s="67">
        <v>99</v>
      </c>
      <c r="E157" s="68" t="s">
        <v>8</v>
      </c>
      <c r="F157" s="57" t="s">
        <v>272</v>
      </c>
      <c r="G157" s="54" t="s">
        <v>273</v>
      </c>
      <c r="H157" s="63"/>
      <c r="I157" s="63"/>
    </row>
    <row r="158" customFormat="1" ht="100" customHeight="1" spans="1:10">
      <c r="A158" s="85">
        <v>8631006</v>
      </c>
      <c r="B158" s="53" t="s">
        <v>270</v>
      </c>
      <c r="C158" s="54">
        <v>119</v>
      </c>
      <c r="D158" s="67">
        <v>99</v>
      </c>
      <c r="E158" s="68" t="s">
        <v>8</v>
      </c>
      <c r="F158" s="57" t="s">
        <v>274</v>
      </c>
      <c r="G158" s="54">
        <v>0</v>
      </c>
      <c r="H158" s="63"/>
      <c r="I158" s="63"/>
    </row>
    <row r="159" customFormat="1" ht="100" customHeight="1" spans="1:10">
      <c r="A159" s="85">
        <v>8631011</v>
      </c>
      <c r="B159" s="53" t="s">
        <v>270</v>
      </c>
      <c r="C159" s="54">
        <v>149</v>
      </c>
      <c r="D159" s="67">
        <v>129</v>
      </c>
      <c r="E159" s="68" t="s">
        <v>8</v>
      </c>
      <c r="F159" s="57" t="s">
        <v>275</v>
      </c>
      <c r="G159" s="54" t="s">
        <v>276</v>
      </c>
      <c r="H159" s="63"/>
      <c r="I159" s="63"/>
    </row>
    <row r="160" customFormat="1" ht="100" customHeight="1" spans="1:10">
      <c r="A160" s="58">
        <v>8631028</v>
      </c>
      <c r="B160" s="59" t="s">
        <v>270</v>
      </c>
      <c r="C160" s="60">
        <v>189</v>
      </c>
      <c r="D160" s="61">
        <v>169</v>
      </c>
      <c r="E160" s="62" t="s">
        <v>8</v>
      </c>
      <c r="F160" s="60" t="s">
        <v>277</v>
      </c>
      <c r="G160" s="60" t="s">
        <v>278</v>
      </c>
      <c r="H160" s="63"/>
      <c r="I160" s="63"/>
    </row>
    <row r="161" customFormat="1" ht="100" customHeight="1" spans="1:10">
      <c r="A161" s="85">
        <v>8631027</v>
      </c>
      <c r="B161" s="53" t="s">
        <v>270</v>
      </c>
      <c r="C161" s="54">
        <v>119</v>
      </c>
      <c r="D161" s="67">
        <v>99</v>
      </c>
      <c r="E161" s="68" t="s">
        <v>8</v>
      </c>
      <c r="F161" s="57" t="s">
        <v>279</v>
      </c>
      <c r="G161" s="54" t="s">
        <v>243</v>
      </c>
      <c r="H161" s="63"/>
      <c r="I161" s="63"/>
    </row>
    <row r="162" customFormat="1" ht="100" customHeight="1" spans="1:10">
      <c r="A162" s="85">
        <v>8631022</v>
      </c>
      <c r="B162" s="53" t="s">
        <v>270</v>
      </c>
      <c r="C162" s="54">
        <v>129</v>
      </c>
      <c r="D162" s="67">
        <v>109</v>
      </c>
      <c r="E162" s="68" t="s">
        <v>8</v>
      </c>
      <c r="F162" s="57" t="s">
        <v>280</v>
      </c>
      <c r="G162" s="54" t="s">
        <v>60</v>
      </c>
      <c r="H162" s="63"/>
      <c r="I162" s="63"/>
    </row>
    <row r="163" customFormat="1" ht="102" customHeight="1" spans="1:10">
      <c r="A163" s="58">
        <v>8631031</v>
      </c>
      <c r="B163" s="59" t="s">
        <v>270</v>
      </c>
      <c r="C163" s="60">
        <v>129</v>
      </c>
      <c r="D163" s="61">
        <v>109</v>
      </c>
      <c r="E163" s="62" t="s">
        <v>8</v>
      </c>
      <c r="F163" s="60" t="s">
        <v>281</v>
      </c>
      <c r="G163" s="60" t="s">
        <v>282</v>
      </c>
      <c r="H163" s="63"/>
      <c r="I163" s="63"/>
    </row>
    <row r="164" customFormat="1" ht="102" customHeight="1" spans="1:10">
      <c r="A164" s="58">
        <v>8621028</v>
      </c>
      <c r="B164" s="7" t="s">
        <v>270</v>
      </c>
      <c r="C164" s="10">
        <v>0</v>
      </c>
      <c r="D164" s="74">
        <v>79</v>
      </c>
      <c r="E164" s="75" t="s">
        <v>8</v>
      </c>
      <c r="F164" s="10">
        <v>0</v>
      </c>
      <c r="G164" s="10" t="s">
        <v>283</v>
      </c>
      <c r="H164" s="63"/>
      <c r="I164" s="63"/>
    </row>
    <row r="165" customFormat="1" ht="100" customHeight="1" spans="1:10">
      <c r="A165" s="58">
        <v>8621005</v>
      </c>
      <c r="B165" s="7" t="s">
        <v>270</v>
      </c>
      <c r="C165" s="10">
        <v>139</v>
      </c>
      <c r="D165" s="74">
        <v>99</v>
      </c>
      <c r="E165" s="75" t="s">
        <v>8</v>
      </c>
      <c r="F165" s="10"/>
      <c r="G165" s="10" t="s">
        <v>284</v>
      </c>
      <c r="H165" s="63"/>
      <c r="I165" s="63"/>
    </row>
    <row r="166" customFormat="1" ht="100" customHeight="1" spans="1:10">
      <c r="A166" s="58">
        <v>8631019</v>
      </c>
      <c r="B166" s="59" t="s">
        <v>270</v>
      </c>
      <c r="C166" s="60">
        <v>129</v>
      </c>
      <c r="D166" s="61">
        <v>109</v>
      </c>
      <c r="E166" s="62" t="s">
        <v>8</v>
      </c>
      <c r="F166" s="60" t="s">
        <v>285</v>
      </c>
      <c r="G166" s="60" t="s">
        <v>286</v>
      </c>
      <c r="H166" s="63"/>
      <c r="I166" s="63"/>
    </row>
    <row r="167" customFormat="1" ht="100" customHeight="1" spans="1:10">
      <c r="A167" s="58">
        <v>8631020</v>
      </c>
      <c r="B167" s="59" t="s">
        <v>270</v>
      </c>
      <c r="C167" s="60">
        <v>129</v>
      </c>
      <c r="D167" s="61">
        <v>109</v>
      </c>
      <c r="E167" s="62" t="s">
        <v>8</v>
      </c>
      <c r="F167" s="60" t="s">
        <v>287</v>
      </c>
      <c r="G167" s="60" t="s">
        <v>288</v>
      </c>
      <c r="H167" s="63"/>
      <c r="I167" s="63"/>
    </row>
    <row r="168" customFormat="1" ht="100" customHeight="1" spans="1:10">
      <c r="A168" s="58">
        <v>8621139</v>
      </c>
      <c r="B168" s="10" t="s">
        <v>270</v>
      </c>
      <c r="C168" s="10">
        <v>139</v>
      </c>
      <c r="D168" s="74">
        <v>99</v>
      </c>
      <c r="E168" s="75" t="s">
        <v>8</v>
      </c>
      <c r="F168" s="10" t="s">
        <v>289</v>
      </c>
      <c r="G168" s="10" t="s">
        <v>290</v>
      </c>
      <c r="H168" s="63"/>
      <c r="I168" s="63"/>
    </row>
    <row r="169" customFormat="1" ht="100" customHeight="1" spans="1:10">
      <c r="A169" s="58">
        <v>8621812</v>
      </c>
      <c r="B169" s="7" t="s">
        <v>270</v>
      </c>
      <c r="C169" s="10">
        <v>0</v>
      </c>
      <c r="D169" s="74">
        <v>79</v>
      </c>
      <c r="E169" s="75" t="s">
        <v>8</v>
      </c>
      <c r="F169" s="10">
        <v>0</v>
      </c>
      <c r="G169" s="10">
        <v>0</v>
      </c>
      <c r="H169" s="63"/>
      <c r="I169" s="63"/>
    </row>
    <row r="170" s="44" customFormat="1" ht="100" customHeight="1" spans="1:10">
      <c r="A170" s="77">
        <v>8611014</v>
      </c>
      <c r="B170" s="78" t="s">
        <v>270</v>
      </c>
      <c r="C170" s="38">
        <v>99</v>
      </c>
      <c r="D170" s="74">
        <v>69</v>
      </c>
      <c r="E170" s="75" t="s">
        <v>8</v>
      </c>
      <c r="F170" s="79" t="s">
        <v>291</v>
      </c>
      <c r="G170" s="33">
        <v>0</v>
      </c>
      <c r="H170" s="63"/>
      <c r="I170" s="63"/>
      <c r="J170"/>
    </row>
    <row r="171" s="44" customFormat="1" ht="100" customHeight="1" spans="1:10">
      <c r="A171" s="77">
        <v>8611013</v>
      </c>
      <c r="B171" s="78" t="s">
        <v>270</v>
      </c>
      <c r="C171" s="38">
        <v>109</v>
      </c>
      <c r="D171" s="74">
        <v>79</v>
      </c>
      <c r="E171" s="75" t="s">
        <v>8</v>
      </c>
      <c r="F171" s="79" t="s">
        <v>292</v>
      </c>
      <c r="G171" s="33">
        <v>0</v>
      </c>
      <c r="H171" s="63"/>
      <c r="I171" s="63"/>
      <c r="J171"/>
    </row>
    <row r="172" s="44" customFormat="1" ht="100" customHeight="1" spans="1:10">
      <c r="A172" s="52">
        <v>8631030</v>
      </c>
      <c r="B172" s="53" t="s">
        <v>270</v>
      </c>
      <c r="C172" s="54">
        <v>159</v>
      </c>
      <c r="D172" s="55">
        <v>139</v>
      </c>
      <c r="E172" s="56" t="s">
        <v>8</v>
      </c>
      <c r="F172" s="57" t="s">
        <v>293</v>
      </c>
      <c r="G172" s="54" t="s">
        <v>294</v>
      </c>
      <c r="H172" s="63"/>
      <c r="I172" s="63"/>
      <c r="J172"/>
    </row>
    <row r="173" customFormat="1" ht="100" customHeight="1" spans="1:10">
      <c r="A173" s="58">
        <v>8621125</v>
      </c>
      <c r="B173" s="10" t="s">
        <v>270</v>
      </c>
      <c r="C173" s="10">
        <v>159</v>
      </c>
      <c r="D173" s="74">
        <v>109</v>
      </c>
      <c r="E173" s="75" t="s">
        <v>8</v>
      </c>
      <c r="F173" s="10" t="s">
        <v>295</v>
      </c>
      <c r="G173" s="10" t="s">
        <v>296</v>
      </c>
      <c r="H173" s="63"/>
      <c r="I173" s="63"/>
    </row>
    <row r="174" customFormat="1" ht="100" customHeight="1" spans="1:10">
      <c r="A174" s="81">
        <v>8621026</v>
      </c>
      <c r="B174" s="86" t="s">
        <v>270</v>
      </c>
      <c r="C174" s="54">
        <v>149</v>
      </c>
      <c r="D174" s="80">
        <v>119</v>
      </c>
      <c r="E174" s="68" t="s">
        <v>8</v>
      </c>
      <c r="F174" s="54" t="s">
        <v>297</v>
      </c>
      <c r="G174" s="54" t="s">
        <v>68</v>
      </c>
      <c r="H174" s="63"/>
      <c r="I174" s="63"/>
    </row>
    <row r="175" customFormat="1" ht="100" customHeight="1" spans="1:10">
      <c r="A175" s="58">
        <v>8621009</v>
      </c>
      <c r="B175" s="7" t="s">
        <v>270</v>
      </c>
      <c r="C175" s="10">
        <v>0</v>
      </c>
      <c r="D175" s="74">
        <v>99</v>
      </c>
      <c r="E175" s="75" t="s">
        <v>8</v>
      </c>
      <c r="F175" s="10">
        <v>0</v>
      </c>
      <c r="G175" s="10">
        <v>0</v>
      </c>
      <c r="H175" s="63"/>
      <c r="I175" s="63"/>
    </row>
    <row r="176" s="44" customFormat="1" ht="100" customHeight="1" spans="1:10">
      <c r="A176" s="58">
        <v>8621129</v>
      </c>
      <c r="B176" s="10" t="s">
        <v>270</v>
      </c>
      <c r="C176" s="10">
        <v>109</v>
      </c>
      <c r="D176" s="74">
        <v>59</v>
      </c>
      <c r="E176" s="75" t="s">
        <v>8</v>
      </c>
      <c r="F176" s="10" t="s">
        <v>298</v>
      </c>
      <c r="G176" s="10" t="s">
        <v>299</v>
      </c>
      <c r="H176" s="63"/>
      <c r="I176" s="63"/>
      <c r="J176"/>
    </row>
    <row r="177" customFormat="1" ht="100" customHeight="1" spans="1:9">
      <c r="A177" s="58">
        <v>8621803</v>
      </c>
      <c r="B177" s="7" t="s">
        <v>270</v>
      </c>
      <c r="C177" s="10">
        <v>0</v>
      </c>
      <c r="D177" s="74">
        <v>69</v>
      </c>
      <c r="E177" s="75" t="s">
        <v>8</v>
      </c>
      <c r="F177" s="10">
        <v>0</v>
      </c>
      <c r="G177" s="10">
        <v>0</v>
      </c>
      <c r="H177" s="63"/>
      <c r="I177" s="63"/>
    </row>
    <row r="178" customFormat="1" ht="100" customHeight="1" spans="1:9">
      <c r="A178" s="81">
        <v>8621184</v>
      </c>
      <c r="B178" s="54" t="s">
        <v>270</v>
      </c>
      <c r="C178" s="54">
        <v>99</v>
      </c>
      <c r="D178" s="74">
        <v>59</v>
      </c>
      <c r="E178" s="56" t="s">
        <v>8</v>
      </c>
      <c r="F178" s="54" t="s">
        <v>300</v>
      </c>
      <c r="G178" s="54" t="s">
        <v>301</v>
      </c>
      <c r="H178" s="63"/>
      <c r="I178" s="63"/>
    </row>
    <row r="179" customFormat="1" ht="100" customHeight="1" spans="1:9">
      <c r="A179" s="81">
        <v>8621167</v>
      </c>
      <c r="B179" s="54" t="s">
        <v>270</v>
      </c>
      <c r="C179" s="54">
        <v>99</v>
      </c>
      <c r="D179" s="74">
        <v>69</v>
      </c>
      <c r="E179" s="56" t="s">
        <v>8</v>
      </c>
      <c r="F179" s="54" t="s">
        <v>191</v>
      </c>
      <c r="G179" s="54" t="s">
        <v>302</v>
      </c>
      <c r="H179" s="63"/>
      <c r="I179" s="63"/>
    </row>
    <row r="180" customFormat="1" ht="100" customHeight="1" spans="1:9">
      <c r="A180" s="58">
        <v>8621078</v>
      </c>
      <c r="B180" s="7" t="s">
        <v>270</v>
      </c>
      <c r="C180" s="10">
        <v>169</v>
      </c>
      <c r="D180" s="74">
        <v>89</v>
      </c>
      <c r="E180" s="75" t="s">
        <v>178</v>
      </c>
      <c r="F180" s="10" t="s">
        <v>171</v>
      </c>
      <c r="G180" s="10" t="s">
        <v>49</v>
      </c>
      <c r="H180" s="63"/>
      <c r="I180" s="63"/>
    </row>
    <row r="181" customFormat="1" ht="100" customHeight="1" spans="1:9">
      <c r="A181" s="69">
        <v>8621165</v>
      </c>
      <c r="B181" s="54" t="s">
        <v>270</v>
      </c>
      <c r="C181" s="54">
        <v>99</v>
      </c>
      <c r="D181" s="80">
        <v>59</v>
      </c>
      <c r="E181" s="56" t="s">
        <v>8</v>
      </c>
      <c r="F181" s="54" t="s">
        <v>303</v>
      </c>
      <c r="G181" s="54" t="s">
        <v>304</v>
      </c>
      <c r="H181" s="63"/>
      <c r="I181" s="63"/>
    </row>
    <row r="182" customFormat="1" ht="100" customHeight="1" spans="1:9">
      <c r="A182" s="69">
        <v>8621168</v>
      </c>
      <c r="B182" s="7" t="s">
        <v>270</v>
      </c>
      <c r="C182" s="54">
        <v>129</v>
      </c>
      <c r="D182" s="74">
        <v>69</v>
      </c>
      <c r="E182" s="75" t="s">
        <v>8</v>
      </c>
      <c r="F182" s="54" t="s">
        <v>279</v>
      </c>
      <c r="G182" s="54" t="s">
        <v>243</v>
      </c>
      <c r="H182" s="63"/>
      <c r="I182" s="63"/>
    </row>
    <row r="183" customFormat="1" ht="100" customHeight="1" spans="1:9">
      <c r="A183" s="69">
        <v>8621179</v>
      </c>
      <c r="B183" s="7" t="s">
        <v>270</v>
      </c>
      <c r="C183" s="54">
        <v>209</v>
      </c>
      <c r="D183" s="74">
        <v>99</v>
      </c>
      <c r="E183" s="75" t="s">
        <v>8</v>
      </c>
      <c r="F183" s="54" t="s">
        <v>305</v>
      </c>
      <c r="G183" s="54" t="s">
        <v>68</v>
      </c>
      <c r="H183" s="63"/>
      <c r="I183" s="63"/>
    </row>
    <row r="184" customFormat="1" ht="100" customHeight="1" spans="1:9">
      <c r="A184" s="52">
        <v>8631036</v>
      </c>
      <c r="B184" s="53" t="s">
        <v>270</v>
      </c>
      <c r="C184" s="54">
        <v>149</v>
      </c>
      <c r="D184" s="55">
        <v>129</v>
      </c>
      <c r="E184" s="56" t="s">
        <v>8</v>
      </c>
      <c r="F184" s="57" t="s">
        <v>306</v>
      </c>
      <c r="G184" s="54" t="s">
        <v>307</v>
      </c>
      <c r="H184" s="63"/>
      <c r="I184" s="63"/>
    </row>
    <row r="185" customFormat="1" ht="100" customHeight="1" spans="1:9">
      <c r="A185" s="58">
        <v>8631031</v>
      </c>
      <c r="B185" s="59" t="s">
        <v>270</v>
      </c>
      <c r="C185" s="60">
        <v>129</v>
      </c>
      <c r="D185" s="61">
        <v>109</v>
      </c>
      <c r="E185" s="62" t="s">
        <v>8</v>
      </c>
      <c r="F185" s="60" t="s">
        <v>281</v>
      </c>
      <c r="G185" s="60" t="s">
        <v>282</v>
      </c>
      <c r="H185" s="63"/>
      <c r="I185" s="63"/>
    </row>
    <row r="186" customFormat="1" ht="100" customHeight="1" spans="1:9">
      <c r="A186" s="58">
        <v>8621073</v>
      </c>
      <c r="B186" s="7" t="s">
        <v>270</v>
      </c>
      <c r="C186" s="10">
        <v>119</v>
      </c>
      <c r="D186" s="74">
        <v>89</v>
      </c>
      <c r="E186" s="75" t="s">
        <v>8</v>
      </c>
      <c r="F186" s="10" t="s">
        <v>308</v>
      </c>
      <c r="G186" s="10" t="s">
        <v>309</v>
      </c>
      <c r="H186" s="63"/>
      <c r="I186" s="63"/>
    </row>
    <row r="187" customFormat="1" ht="100" customHeight="1" spans="1:9">
      <c r="A187" s="84">
        <v>8621054</v>
      </c>
      <c r="B187" s="86" t="s">
        <v>270</v>
      </c>
      <c r="C187" s="54">
        <v>129</v>
      </c>
      <c r="D187" s="80">
        <v>89</v>
      </c>
      <c r="E187" s="68" t="s">
        <v>8</v>
      </c>
      <c r="F187" s="54" t="s">
        <v>310</v>
      </c>
      <c r="G187" s="54" t="s">
        <v>311</v>
      </c>
      <c r="H187" s="63"/>
      <c r="I187" s="63"/>
    </row>
    <row r="188" customFormat="1" ht="100" customHeight="1" spans="1:9">
      <c r="A188" s="69">
        <v>8621060</v>
      </c>
      <c r="B188" s="87" t="s">
        <v>270</v>
      </c>
      <c r="C188" s="54">
        <v>119</v>
      </c>
      <c r="D188" s="80">
        <v>89</v>
      </c>
      <c r="E188" s="68" t="s">
        <v>8</v>
      </c>
      <c r="F188" s="54" t="s">
        <v>297</v>
      </c>
      <c r="G188" s="54" t="s">
        <v>312</v>
      </c>
      <c r="H188" s="63"/>
      <c r="I188" s="63"/>
    </row>
    <row r="189" customFormat="1" ht="100" customHeight="1" spans="1:9">
      <c r="A189" s="58">
        <v>8621098</v>
      </c>
      <c r="B189" s="7" t="s">
        <v>270</v>
      </c>
      <c r="C189" s="10">
        <v>149</v>
      </c>
      <c r="D189" s="74">
        <v>99</v>
      </c>
      <c r="E189" s="75" t="s">
        <v>8</v>
      </c>
      <c r="F189" s="10" t="s">
        <v>260</v>
      </c>
      <c r="G189" s="10" t="s">
        <v>313</v>
      </c>
      <c r="H189" s="63"/>
      <c r="I189" s="63"/>
    </row>
    <row r="190" customFormat="1" ht="100" customHeight="1" spans="1:9">
      <c r="A190" s="58">
        <v>8621109</v>
      </c>
      <c r="B190" s="7" t="s">
        <v>270</v>
      </c>
      <c r="C190" s="10">
        <v>129</v>
      </c>
      <c r="D190" s="74">
        <v>79</v>
      </c>
      <c r="E190" s="75" t="s">
        <v>8</v>
      </c>
      <c r="F190" s="10" t="s">
        <v>314</v>
      </c>
      <c r="G190" s="10" t="s">
        <v>309</v>
      </c>
      <c r="H190" s="63"/>
      <c r="I190" s="63"/>
    </row>
  </sheetData>
  <autoFilter xmlns:etc="http://www.wps.cn/officeDocument/2017/etCustomData" ref="A1:J190" etc:filterBottomFollowUsedRange="0"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0"/>
  <sheetViews>
    <sheetView topLeftCell="A146" workbookViewId="0">
      <selection activeCell="J147" sqref="J147"/>
    </sheetView>
  </sheetViews>
  <sheetFormatPr defaultColWidth="9" defaultRowHeight="13.5" outlineLevelCol="7"/>
  <cols>
    <col min="1" max="1" width="14.625" customWidth="1"/>
  </cols>
  <sheetData>
    <row r="1" ht="22.5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ht="82.5" spans="1:8">
      <c r="A2" s="3">
        <v>28628324</v>
      </c>
      <c r="B2" s="3" t="s">
        <v>315</v>
      </c>
      <c r="C2" s="3">
        <v>59</v>
      </c>
      <c r="D2" s="4">
        <v>39</v>
      </c>
      <c r="E2" s="5">
        <v>0.2</v>
      </c>
      <c r="F2" s="6" t="s">
        <v>316</v>
      </c>
      <c r="G2" s="6" t="s">
        <v>317</v>
      </c>
      <c r="H2">
        <f>MATCH(A2,[4]茵曼库存!$A:$A,0)</f>
        <v>2</v>
      </c>
    </row>
    <row r="3" ht="66" spans="1:8">
      <c r="A3" s="7">
        <v>18625120</v>
      </c>
      <c r="B3" s="6" t="s">
        <v>7</v>
      </c>
      <c r="C3" s="6">
        <v>229</v>
      </c>
      <c r="D3" s="8">
        <v>129</v>
      </c>
      <c r="E3" s="5">
        <v>0.2</v>
      </c>
      <c r="F3" s="6" t="s">
        <v>318</v>
      </c>
      <c r="G3" s="6" t="s">
        <v>319</v>
      </c>
      <c r="H3">
        <f>MATCH(A3,[4]茵曼库存!$A:$A,0)</f>
        <v>3</v>
      </c>
    </row>
    <row r="4" ht="22.5" spans="1:8">
      <c r="A4" s="9" t="s">
        <v>320</v>
      </c>
      <c r="B4" s="10" t="s">
        <v>7</v>
      </c>
      <c r="C4" s="11">
        <v>179</v>
      </c>
      <c r="D4" s="8">
        <v>129</v>
      </c>
      <c r="E4" s="5">
        <v>0.2</v>
      </c>
      <c r="F4" s="12" t="s">
        <v>321</v>
      </c>
      <c r="G4" s="10"/>
      <c r="H4">
        <f>MATCH(A4,[4]茵曼库存!$A:$A,0)</f>
        <v>4</v>
      </c>
    </row>
    <row r="5" ht="66" spans="1:8">
      <c r="A5" s="3" t="s">
        <v>322</v>
      </c>
      <c r="B5" s="3" t="s">
        <v>7</v>
      </c>
      <c r="C5" s="3">
        <v>199</v>
      </c>
      <c r="D5" s="8">
        <v>129</v>
      </c>
      <c r="E5" s="5">
        <v>0.2</v>
      </c>
      <c r="F5" s="3" t="s">
        <v>171</v>
      </c>
      <c r="G5" s="6" t="s">
        <v>323</v>
      </c>
      <c r="H5">
        <f>MATCH(A5,[4]茵曼库存!$A:$A,0)</f>
        <v>5</v>
      </c>
    </row>
    <row r="6" ht="99" spans="1:8">
      <c r="A6" s="3" t="s">
        <v>324</v>
      </c>
      <c r="B6" s="3" t="s">
        <v>7</v>
      </c>
      <c r="C6" s="3">
        <v>259</v>
      </c>
      <c r="D6" s="8">
        <v>149</v>
      </c>
      <c r="E6" s="5">
        <v>0.2</v>
      </c>
      <c r="F6" s="3" t="s">
        <v>325</v>
      </c>
      <c r="G6" s="6" t="s">
        <v>326</v>
      </c>
      <c r="H6">
        <f>MATCH(A6,[4]茵曼库存!$A:$A,0)</f>
        <v>6</v>
      </c>
    </row>
    <row r="7" ht="49.5" spans="1:8">
      <c r="A7" s="10">
        <v>18528632</v>
      </c>
      <c r="B7" s="10" t="s">
        <v>7</v>
      </c>
      <c r="C7" s="11">
        <v>239</v>
      </c>
      <c r="D7" s="8">
        <v>169</v>
      </c>
      <c r="E7" s="5">
        <v>0.2</v>
      </c>
      <c r="F7" s="12" t="s">
        <v>327</v>
      </c>
      <c r="G7" s="10" t="s">
        <v>328</v>
      </c>
      <c r="H7">
        <f>MATCH(A7,[4]茵曼库存!$A:$A,0)</f>
        <v>7</v>
      </c>
    </row>
    <row r="8" ht="148.5" spans="1:8">
      <c r="A8" s="7" t="s">
        <v>329</v>
      </c>
      <c r="B8" s="6" t="s">
        <v>7</v>
      </c>
      <c r="C8" s="6">
        <v>299</v>
      </c>
      <c r="D8" s="8">
        <v>169</v>
      </c>
      <c r="E8" s="5">
        <v>0.2</v>
      </c>
      <c r="F8" s="6" t="s">
        <v>330</v>
      </c>
      <c r="G8" s="6" t="s">
        <v>331</v>
      </c>
      <c r="H8">
        <f>MATCH(A8,[4]茵曼库存!$A:$A,0)</f>
        <v>8</v>
      </c>
    </row>
    <row r="9" ht="99" spans="1:8">
      <c r="A9" s="10">
        <v>18424047</v>
      </c>
      <c r="B9" s="10" t="s">
        <v>7</v>
      </c>
      <c r="C9" s="10">
        <v>199</v>
      </c>
      <c r="D9" s="8">
        <v>139</v>
      </c>
      <c r="E9" s="5">
        <v>0.2</v>
      </c>
      <c r="F9" s="12" t="s">
        <v>332</v>
      </c>
      <c r="G9" s="13" t="s">
        <v>333</v>
      </c>
      <c r="H9">
        <f>MATCH(A9,[4]茵曼库存!$A:$A,0)</f>
        <v>9</v>
      </c>
    </row>
    <row r="10" ht="94.5" spans="1:8">
      <c r="A10" s="10" t="s">
        <v>334</v>
      </c>
      <c r="B10" s="10" t="s">
        <v>7</v>
      </c>
      <c r="C10" s="10">
        <v>169</v>
      </c>
      <c r="D10" s="4">
        <v>149</v>
      </c>
      <c r="E10" s="5">
        <v>0.2</v>
      </c>
      <c r="F10" s="10" t="s">
        <v>335</v>
      </c>
      <c r="G10" s="14" t="s">
        <v>336</v>
      </c>
      <c r="H10">
        <f>MATCH(A10,[4]茵曼库存!$A:$A,0)</f>
        <v>11</v>
      </c>
    </row>
    <row r="11" ht="99" spans="1:8">
      <c r="A11" s="10" t="s">
        <v>337</v>
      </c>
      <c r="B11" s="10" t="s">
        <v>7</v>
      </c>
      <c r="C11" s="10">
        <v>169</v>
      </c>
      <c r="D11" s="4">
        <v>149</v>
      </c>
      <c r="E11" s="5">
        <v>0.2</v>
      </c>
      <c r="F11" s="10" t="s">
        <v>338</v>
      </c>
      <c r="G11" s="10" t="s">
        <v>339</v>
      </c>
      <c r="H11">
        <f>MATCH(A11,[4]茵曼库存!$A:$A,0)</f>
        <v>12</v>
      </c>
    </row>
    <row r="12" ht="40.5" spans="1:8">
      <c r="A12" s="10" t="s">
        <v>340</v>
      </c>
      <c r="B12" s="10" t="s">
        <v>7</v>
      </c>
      <c r="C12" s="10">
        <v>179</v>
      </c>
      <c r="D12" s="4">
        <v>159</v>
      </c>
      <c r="E12" s="5">
        <v>0.2</v>
      </c>
      <c r="F12" s="10" t="s">
        <v>341</v>
      </c>
      <c r="G12" s="14" t="s">
        <v>342</v>
      </c>
      <c r="H12">
        <f>MATCH(A12,[4]茵曼库存!$A:$A,0)</f>
        <v>13</v>
      </c>
    </row>
    <row r="13" ht="99" spans="1:8">
      <c r="A13" s="10" t="s">
        <v>343</v>
      </c>
      <c r="B13" s="10" t="s">
        <v>7</v>
      </c>
      <c r="C13" s="10">
        <v>169</v>
      </c>
      <c r="D13" s="4">
        <v>149</v>
      </c>
      <c r="E13" s="5">
        <v>0.2</v>
      </c>
      <c r="F13" s="10" t="s">
        <v>344</v>
      </c>
      <c r="G13" s="10" t="s">
        <v>345</v>
      </c>
      <c r="H13">
        <f>MATCH(A13,[4]茵曼库存!$A:$A,0)</f>
        <v>14</v>
      </c>
    </row>
    <row r="14" ht="94.5" spans="1:8">
      <c r="A14" s="10" t="s">
        <v>346</v>
      </c>
      <c r="B14" s="10" t="s">
        <v>7</v>
      </c>
      <c r="C14" s="10">
        <v>169</v>
      </c>
      <c r="D14" s="4">
        <v>149</v>
      </c>
      <c r="E14" s="5">
        <v>0.2</v>
      </c>
      <c r="F14" s="10" t="s">
        <v>347</v>
      </c>
      <c r="G14" s="14" t="s">
        <v>348</v>
      </c>
      <c r="H14">
        <f>MATCH(A14,[4]茵曼库存!$A:$A,0)</f>
        <v>15</v>
      </c>
    </row>
    <row r="15" ht="49.5" spans="1:8">
      <c r="A15" s="10" t="s">
        <v>349</v>
      </c>
      <c r="B15" s="10" t="s">
        <v>7</v>
      </c>
      <c r="C15" s="10">
        <v>169</v>
      </c>
      <c r="D15" s="4">
        <v>149</v>
      </c>
      <c r="E15" s="5">
        <v>0.2</v>
      </c>
      <c r="F15" s="10" t="s">
        <v>350</v>
      </c>
      <c r="G15" s="14" t="s">
        <v>49</v>
      </c>
      <c r="H15">
        <f>MATCH(A15,[4]茵曼库存!$A:$A,0)</f>
        <v>16</v>
      </c>
    </row>
    <row r="16" ht="49.5" spans="1:8">
      <c r="A16" s="10" t="s">
        <v>351</v>
      </c>
      <c r="B16" s="10" t="s">
        <v>7</v>
      </c>
      <c r="C16" s="10">
        <v>159</v>
      </c>
      <c r="D16" s="4">
        <v>139</v>
      </c>
      <c r="E16" s="5">
        <v>0.2</v>
      </c>
      <c r="F16" s="10" t="s">
        <v>352</v>
      </c>
      <c r="G16" s="10" t="s">
        <v>353</v>
      </c>
      <c r="H16">
        <f>MATCH(A16,[4]茵曼库存!$A:$A,0)</f>
        <v>17</v>
      </c>
    </row>
    <row r="17" ht="363" spans="1:8">
      <c r="A17" s="15">
        <v>1863001</v>
      </c>
      <c r="B17" s="15" t="s">
        <v>7</v>
      </c>
      <c r="C17" s="15">
        <v>259</v>
      </c>
      <c r="D17" s="16">
        <v>179</v>
      </c>
      <c r="E17" s="17">
        <v>0.2</v>
      </c>
      <c r="F17" s="18" t="s">
        <v>354</v>
      </c>
      <c r="G17" s="19" t="s">
        <v>355</v>
      </c>
      <c r="H17">
        <f>MATCH(A17,[4]茵曼库存!$A:$A,0)</f>
        <v>18</v>
      </c>
    </row>
    <row r="18" ht="297" spans="1:8">
      <c r="A18" s="15">
        <v>18637120</v>
      </c>
      <c r="B18" s="15" t="s">
        <v>7</v>
      </c>
      <c r="C18" s="15">
        <v>199</v>
      </c>
      <c r="D18" s="16">
        <v>159.15</v>
      </c>
      <c r="E18" s="17">
        <v>0.2</v>
      </c>
      <c r="F18" s="18" t="s">
        <v>356</v>
      </c>
      <c r="G18" s="19" t="s">
        <v>357</v>
      </c>
      <c r="H18">
        <f>MATCH(A18,[4]茵曼库存!$A:$A,0)</f>
        <v>19</v>
      </c>
    </row>
    <row r="19" ht="49.5" spans="1:8">
      <c r="A19" s="20" t="s">
        <v>358</v>
      </c>
      <c r="B19" s="3" t="s">
        <v>7</v>
      </c>
      <c r="C19" s="3">
        <v>229</v>
      </c>
      <c r="D19" s="4">
        <v>149</v>
      </c>
      <c r="E19" s="5">
        <v>0.2</v>
      </c>
      <c r="F19" s="6" t="str">
        <f>VLOOKUP(A19,[2]Sheet1!$A:$G,7,FALSE)</f>
        <v>贵族灰、米白色、燕麦色</v>
      </c>
      <c r="G19" s="10"/>
      <c r="H19">
        <f>MATCH(A19,[4]茵曼库存!$A:$A,0)</f>
        <v>20</v>
      </c>
    </row>
    <row r="20" ht="33" spans="1:8">
      <c r="A20" s="20">
        <v>18637207</v>
      </c>
      <c r="B20" s="3" t="s">
        <v>7</v>
      </c>
      <c r="C20" s="3">
        <v>279</v>
      </c>
      <c r="D20" s="4">
        <v>199</v>
      </c>
      <c r="E20" s="5">
        <v>0.2</v>
      </c>
      <c r="F20" s="6" t="str">
        <f>VLOOKUP(A20,[2]Sheet1!$A:$G,7,FALSE)</f>
        <v>藏青、黄色</v>
      </c>
      <c r="G20" s="10"/>
      <c r="H20">
        <f>MATCH(A20,[4]茵曼库存!$A:$A,0)</f>
        <v>21</v>
      </c>
    </row>
    <row r="21" ht="82.5" spans="1:8">
      <c r="A21" s="20" t="s">
        <v>359</v>
      </c>
      <c r="B21" s="3" t="s">
        <v>360</v>
      </c>
      <c r="C21" s="3">
        <v>299</v>
      </c>
      <c r="D21" s="4">
        <v>199</v>
      </c>
      <c r="E21" s="5">
        <v>0.2</v>
      </c>
      <c r="F21" s="6" t="str">
        <f>VLOOKUP(A21,[2]Sheet1!$A:$G,7,FALSE)</f>
        <v>米杏色、贵族灰、午夜黑、燕麦色、克莱因蓝</v>
      </c>
      <c r="G21" s="21" t="e">
        <f>MATCH(A21,[3]茵曼货表!$B:$B,0)</f>
        <v>#N/A</v>
      </c>
      <c r="H21">
        <f>MATCH(A21,[4]茵曼库存!$A:$A,0)</f>
        <v>22</v>
      </c>
    </row>
    <row r="22" ht="67.5" spans="1:8">
      <c r="A22" s="10">
        <v>18627629</v>
      </c>
      <c r="B22" s="10" t="s">
        <v>361</v>
      </c>
      <c r="C22" s="10">
        <v>239</v>
      </c>
      <c r="D22" s="8">
        <v>169</v>
      </c>
      <c r="E22" s="5">
        <v>0.2</v>
      </c>
      <c r="F22" s="12" t="s">
        <v>362</v>
      </c>
      <c r="G22" s="13" t="s">
        <v>363</v>
      </c>
      <c r="H22">
        <f>MATCH(A22,[4]茵曼库存!$A:$A,0)</f>
        <v>23</v>
      </c>
    </row>
    <row r="23" ht="94.5" spans="1:8">
      <c r="A23" s="10">
        <v>18322228</v>
      </c>
      <c r="B23" s="10" t="s">
        <v>361</v>
      </c>
      <c r="C23" s="10">
        <v>229</v>
      </c>
      <c r="D23" s="8">
        <v>149</v>
      </c>
      <c r="E23" s="5">
        <v>0.2</v>
      </c>
      <c r="F23" s="12" t="s">
        <v>364</v>
      </c>
      <c r="G23" s="13" t="s">
        <v>365</v>
      </c>
      <c r="H23">
        <f>MATCH(A23,[4]茵曼库存!$A:$A,0)</f>
        <v>24</v>
      </c>
    </row>
    <row r="24" ht="82.5" spans="1:8">
      <c r="A24" s="10">
        <v>18424138</v>
      </c>
      <c r="B24" s="10" t="s">
        <v>361</v>
      </c>
      <c r="C24" s="10">
        <v>239</v>
      </c>
      <c r="D24" s="8">
        <v>149</v>
      </c>
      <c r="E24" s="5">
        <v>0.2</v>
      </c>
      <c r="F24" s="13" t="s">
        <v>366</v>
      </c>
      <c r="G24" s="13" t="s">
        <v>367</v>
      </c>
      <c r="H24">
        <f>MATCH(A24,[4]茵曼库存!$A:$A,0)</f>
        <v>25</v>
      </c>
    </row>
    <row r="25" ht="67.5" spans="1:8">
      <c r="A25" s="10">
        <v>18627948</v>
      </c>
      <c r="B25" s="10" t="s">
        <v>361</v>
      </c>
      <c r="C25" s="11">
        <v>347.5</v>
      </c>
      <c r="D25" s="8">
        <v>169</v>
      </c>
      <c r="E25" s="5">
        <v>0.2</v>
      </c>
      <c r="F25" s="10" t="s">
        <v>368</v>
      </c>
      <c r="G25" s="22" t="s">
        <v>369</v>
      </c>
      <c r="H25">
        <f>MATCH(A25,[4]茵曼库存!$A:$A,0)</f>
        <v>26</v>
      </c>
    </row>
    <row r="26" ht="49.5" spans="1:8">
      <c r="A26" s="10">
        <v>18424160</v>
      </c>
      <c r="B26" s="6" t="s">
        <v>361</v>
      </c>
      <c r="C26" s="6">
        <v>219</v>
      </c>
      <c r="D26" s="8">
        <v>149</v>
      </c>
      <c r="E26" s="5">
        <v>0.2</v>
      </c>
      <c r="F26" s="6" t="s">
        <v>370</v>
      </c>
      <c r="G26" s="6" t="s">
        <v>371</v>
      </c>
      <c r="H26">
        <f>MATCH(A26,[4]茵曼库存!$A:$A,0)</f>
        <v>27</v>
      </c>
    </row>
    <row r="27" ht="214.5" spans="1:8">
      <c r="A27" s="3">
        <v>18438094</v>
      </c>
      <c r="B27" s="3" t="s">
        <v>361</v>
      </c>
      <c r="C27" s="3">
        <v>179.9</v>
      </c>
      <c r="D27" s="8">
        <v>139</v>
      </c>
      <c r="E27" s="5">
        <v>0.2</v>
      </c>
      <c r="F27" s="3" t="s">
        <v>372</v>
      </c>
      <c r="G27" s="23" t="s">
        <v>373</v>
      </c>
      <c r="H27">
        <f>MATCH(A27,[4]茵曼库存!$A:$A,0)</f>
        <v>28</v>
      </c>
    </row>
    <row r="28" ht="66" spans="1:8">
      <c r="A28" s="15">
        <v>18637636</v>
      </c>
      <c r="B28" s="15" t="s">
        <v>221</v>
      </c>
      <c r="C28" s="15">
        <v>199</v>
      </c>
      <c r="D28" s="16">
        <v>139</v>
      </c>
      <c r="E28" s="17">
        <v>0.2</v>
      </c>
      <c r="F28" s="18" t="s">
        <v>374</v>
      </c>
      <c r="G28" s="19" t="s">
        <v>375</v>
      </c>
      <c r="H28">
        <f>MATCH(A28,[4]茵曼库存!$A:$A,0)</f>
        <v>29</v>
      </c>
    </row>
    <row r="29" ht="49.5" spans="1:8">
      <c r="A29" s="15">
        <v>18637052</v>
      </c>
      <c r="B29" s="15" t="s">
        <v>221</v>
      </c>
      <c r="C29" s="15">
        <v>219</v>
      </c>
      <c r="D29" s="16">
        <v>159</v>
      </c>
      <c r="E29" s="17">
        <v>0.2</v>
      </c>
      <c r="F29" s="18" t="s">
        <v>376</v>
      </c>
      <c r="G29" s="19" t="s">
        <v>377</v>
      </c>
      <c r="H29">
        <f>MATCH(A29,[4]茵曼库存!$A:$A,0)</f>
        <v>30</v>
      </c>
    </row>
    <row r="30" ht="66" spans="1:8">
      <c r="A30" s="15">
        <v>18637538</v>
      </c>
      <c r="B30" s="15" t="s">
        <v>221</v>
      </c>
      <c r="C30" s="15">
        <v>239</v>
      </c>
      <c r="D30" s="16">
        <v>169</v>
      </c>
      <c r="E30" s="17">
        <v>0.2</v>
      </c>
      <c r="F30" s="18" t="s">
        <v>378</v>
      </c>
      <c r="G30" s="19" t="s">
        <v>379</v>
      </c>
      <c r="H30">
        <f>MATCH(A30,[4]茵曼库存!$A:$A,0)</f>
        <v>31</v>
      </c>
    </row>
    <row r="31" ht="66" spans="1:8">
      <c r="A31" s="15">
        <v>18637466</v>
      </c>
      <c r="B31" s="15" t="s">
        <v>221</v>
      </c>
      <c r="C31" s="15">
        <v>239</v>
      </c>
      <c r="D31" s="16">
        <v>169</v>
      </c>
      <c r="E31" s="17">
        <v>0.2</v>
      </c>
      <c r="F31" s="18" t="s">
        <v>380</v>
      </c>
      <c r="G31" s="19" t="s">
        <v>379</v>
      </c>
      <c r="H31">
        <f>MATCH(A31,[4]茵曼库存!$A:$A,0)</f>
        <v>32</v>
      </c>
    </row>
    <row r="32" ht="66" spans="1:8">
      <c r="A32" s="15">
        <v>18637480</v>
      </c>
      <c r="B32" s="15" t="s">
        <v>221</v>
      </c>
      <c r="C32" s="15">
        <v>269</v>
      </c>
      <c r="D32" s="16">
        <v>179</v>
      </c>
      <c r="E32" s="17">
        <v>0.2</v>
      </c>
      <c r="F32" s="18" t="s">
        <v>381</v>
      </c>
      <c r="G32" s="19" t="s">
        <v>382</v>
      </c>
      <c r="H32">
        <f>MATCH(A32,[4]茵曼库存!$A:$A,0)</f>
        <v>33</v>
      </c>
    </row>
    <row r="33" ht="49.5" spans="1:8">
      <c r="A33" s="15">
        <v>18637053</v>
      </c>
      <c r="B33" s="15" t="s">
        <v>221</v>
      </c>
      <c r="C33" s="15">
        <v>259</v>
      </c>
      <c r="D33" s="16">
        <v>210.15</v>
      </c>
      <c r="E33" s="17">
        <v>0.2</v>
      </c>
      <c r="F33" s="18" t="s">
        <v>383</v>
      </c>
      <c r="G33" s="19" t="s">
        <v>377</v>
      </c>
      <c r="H33">
        <f>MATCH(A33,[4]茵曼库存!$A:$A,0)</f>
        <v>34</v>
      </c>
    </row>
    <row r="34" ht="148.5" spans="1:8">
      <c r="A34" s="15" t="s">
        <v>384</v>
      </c>
      <c r="B34" s="15" t="s">
        <v>221</v>
      </c>
      <c r="C34" s="15">
        <v>269</v>
      </c>
      <c r="D34" s="16">
        <v>189</v>
      </c>
      <c r="E34" s="17">
        <v>0.2</v>
      </c>
      <c r="F34" s="18" t="s">
        <v>385</v>
      </c>
      <c r="G34" s="19" t="s">
        <v>386</v>
      </c>
      <c r="H34">
        <f>MATCH(A34,[4]茵曼库存!$A:$A,0)</f>
        <v>35</v>
      </c>
    </row>
    <row r="35" ht="49.5" spans="1:8">
      <c r="A35" s="15" t="s">
        <v>387</v>
      </c>
      <c r="B35" s="15" t="s">
        <v>221</v>
      </c>
      <c r="C35" s="15">
        <v>299</v>
      </c>
      <c r="D35" s="16">
        <v>184.35</v>
      </c>
      <c r="E35" s="17">
        <v>0.2</v>
      </c>
      <c r="F35" s="18" t="s">
        <v>388</v>
      </c>
      <c r="G35" s="19" t="s">
        <v>389</v>
      </c>
      <c r="H35">
        <f>MATCH(A35,[4]茵曼库存!$A:$A,0)</f>
        <v>36</v>
      </c>
    </row>
    <row r="36" ht="66" spans="1:8">
      <c r="A36" s="15">
        <v>18637010</v>
      </c>
      <c r="B36" s="15" t="s">
        <v>221</v>
      </c>
      <c r="C36" s="15">
        <v>279</v>
      </c>
      <c r="D36" s="16">
        <v>227.15</v>
      </c>
      <c r="E36" s="17">
        <v>0.2</v>
      </c>
      <c r="F36" s="18" t="s">
        <v>385</v>
      </c>
      <c r="G36" s="19" t="s">
        <v>382</v>
      </c>
      <c r="H36">
        <f>MATCH(A36,[4]茵曼库存!$A:$A,0)</f>
        <v>37</v>
      </c>
    </row>
    <row r="37" ht="66" spans="1:8">
      <c r="A37" s="15" t="s">
        <v>390</v>
      </c>
      <c r="B37" s="15" t="s">
        <v>221</v>
      </c>
      <c r="C37" s="15">
        <v>269</v>
      </c>
      <c r="D37" s="16">
        <v>-10</v>
      </c>
      <c r="E37" s="17">
        <v>0.2</v>
      </c>
      <c r="F37" s="18" t="s">
        <v>391</v>
      </c>
      <c r="G37" s="19" t="s">
        <v>379</v>
      </c>
      <c r="H37">
        <f>MATCH(A37,[4]茵曼库存!$A:$A,0)</f>
        <v>38</v>
      </c>
    </row>
    <row r="38" ht="33" spans="1:8">
      <c r="A38" s="10" t="s">
        <v>392</v>
      </c>
      <c r="B38" s="10" t="s">
        <v>361</v>
      </c>
      <c r="C38" s="11">
        <v>269</v>
      </c>
      <c r="D38" s="8">
        <v>199</v>
      </c>
      <c r="E38" s="5">
        <v>0.2</v>
      </c>
      <c r="F38" s="12" t="s">
        <v>321</v>
      </c>
      <c r="G38" s="6" t="s">
        <v>250</v>
      </c>
      <c r="H38">
        <f>MATCH(A38,[4]茵曼库存!$A:$A,0)</f>
        <v>39</v>
      </c>
    </row>
    <row r="39" ht="66" spans="1:8">
      <c r="A39" s="10">
        <v>18618116</v>
      </c>
      <c r="B39" s="10" t="s">
        <v>361</v>
      </c>
      <c r="C39" s="11">
        <v>209</v>
      </c>
      <c r="D39" s="8">
        <v>159</v>
      </c>
      <c r="E39" s="5">
        <v>0.2</v>
      </c>
      <c r="F39" s="12" t="s">
        <v>321</v>
      </c>
      <c r="G39" s="10" t="s">
        <v>393</v>
      </c>
      <c r="H39">
        <f>MATCH(A39,[4]茵曼库存!$A:$A,0)</f>
        <v>40</v>
      </c>
    </row>
    <row r="40" ht="198" spans="1:8">
      <c r="A40" s="10">
        <v>18625006</v>
      </c>
      <c r="B40" s="10" t="s">
        <v>361</v>
      </c>
      <c r="C40" s="11">
        <v>397.5</v>
      </c>
      <c r="D40" s="8">
        <v>149</v>
      </c>
      <c r="E40" s="5">
        <v>0.2</v>
      </c>
      <c r="F40" s="10" t="s">
        <v>394</v>
      </c>
      <c r="G40" s="6" t="s">
        <v>395</v>
      </c>
      <c r="H40">
        <f>MATCH(A40,[4]茵曼库存!$A:$A,0)</f>
        <v>41</v>
      </c>
    </row>
    <row r="41" ht="33" spans="1:8">
      <c r="A41" s="3">
        <v>18538564</v>
      </c>
      <c r="B41" s="3" t="s">
        <v>361</v>
      </c>
      <c r="C41" s="3">
        <v>229</v>
      </c>
      <c r="D41" s="8">
        <v>139</v>
      </c>
      <c r="E41" s="5">
        <v>0.2</v>
      </c>
      <c r="F41" s="3" t="s">
        <v>396</v>
      </c>
      <c r="G41" s="6" t="s">
        <v>250</v>
      </c>
      <c r="H41">
        <f>MATCH(A41,[4]茵曼库存!$A:$A,0)</f>
        <v>42</v>
      </c>
    </row>
    <row r="42" ht="22.5" spans="1:8">
      <c r="A42" s="3">
        <v>18637078</v>
      </c>
      <c r="B42" s="3" t="s">
        <v>361</v>
      </c>
      <c r="C42" s="3">
        <v>209</v>
      </c>
      <c r="D42" s="8">
        <v>139</v>
      </c>
      <c r="E42" s="5">
        <v>0.2</v>
      </c>
      <c r="F42" s="3" t="s">
        <v>397</v>
      </c>
      <c r="G42" s="13"/>
      <c r="H42">
        <f>MATCH(A42,[4]茵曼库存!$A:$A,0)</f>
        <v>43</v>
      </c>
    </row>
    <row r="43" ht="297" spans="1:8">
      <c r="A43" s="3" t="s">
        <v>398</v>
      </c>
      <c r="B43" s="3" t="s">
        <v>361</v>
      </c>
      <c r="C43" s="3">
        <v>159</v>
      </c>
      <c r="D43" s="8">
        <v>129</v>
      </c>
      <c r="E43" s="5">
        <v>0.2</v>
      </c>
      <c r="F43" s="3" t="s">
        <v>399</v>
      </c>
      <c r="G43" s="6" t="s">
        <v>400</v>
      </c>
      <c r="H43">
        <f>MATCH(A43,[4]茵曼库存!$A:$A,0)</f>
        <v>44</v>
      </c>
    </row>
    <row r="44" ht="33" spans="1:8">
      <c r="A44" s="20">
        <v>18637648</v>
      </c>
      <c r="B44" s="3" t="s">
        <v>221</v>
      </c>
      <c r="C44" s="3">
        <v>239</v>
      </c>
      <c r="D44" s="4">
        <v>159</v>
      </c>
      <c r="E44" s="5">
        <v>0.2</v>
      </c>
      <c r="F44" s="6" t="s">
        <v>401</v>
      </c>
      <c r="G44" s="24" t="s">
        <v>377</v>
      </c>
      <c r="H44">
        <f>MATCH(A44,[4]茵曼库存!$A:$A,0)</f>
        <v>45</v>
      </c>
    </row>
    <row r="45" ht="28.5" spans="1:8">
      <c r="A45" s="25">
        <v>18637269</v>
      </c>
      <c r="B45" s="26" t="s">
        <v>221</v>
      </c>
      <c r="C45" s="26">
        <v>279</v>
      </c>
      <c r="D45" s="4">
        <v>199</v>
      </c>
      <c r="E45" s="5">
        <v>0.2</v>
      </c>
      <c r="F45" s="27" t="s">
        <v>402</v>
      </c>
      <c r="G45" s="28" t="s">
        <v>403</v>
      </c>
      <c r="H45">
        <f>MATCH(A45,[4]茵曼库存!$A:$A,0)</f>
        <v>46</v>
      </c>
    </row>
    <row r="46" ht="181.5" spans="1:8">
      <c r="A46" s="20">
        <v>18637580</v>
      </c>
      <c r="B46" s="3" t="s">
        <v>404</v>
      </c>
      <c r="C46" s="3">
        <v>269</v>
      </c>
      <c r="D46" s="4">
        <v>179</v>
      </c>
      <c r="E46" s="5">
        <v>0.2</v>
      </c>
      <c r="F46" s="6" t="str">
        <f>VLOOKUP(A46,[2]Sheet1!$A:$G,7,FALSE)</f>
        <v>米白色</v>
      </c>
      <c r="G46" s="6" t="str">
        <f>VLOOKUP(A46,[2]Sheet1!$A:$L,12,FALSE)</f>
        <v>面料：面层：66.6%棉 33.4%聚酯纤维（含胶）底层：96.0%聚酯纤维 4.0%氨纶（含胶）</v>
      </c>
      <c r="H46">
        <f>MATCH(A46,[4]茵曼库存!$A:$A,0)</f>
        <v>47</v>
      </c>
    </row>
    <row r="47" ht="363" spans="1:8">
      <c r="A47" s="15">
        <v>18637184</v>
      </c>
      <c r="B47" s="15" t="s">
        <v>404</v>
      </c>
      <c r="C47" s="15">
        <v>229</v>
      </c>
      <c r="D47" s="16">
        <v>169</v>
      </c>
      <c r="E47" s="17">
        <v>0.2</v>
      </c>
      <c r="F47" s="18" t="s">
        <v>405</v>
      </c>
      <c r="G47" s="19" t="s">
        <v>406</v>
      </c>
      <c r="H47">
        <f>MATCH(A47,[4]茵曼库存!$A:$A,0)</f>
        <v>48</v>
      </c>
    </row>
    <row r="48" ht="99" spans="1:8">
      <c r="A48" s="15">
        <v>18637068</v>
      </c>
      <c r="B48" s="15" t="s">
        <v>404</v>
      </c>
      <c r="C48" s="15">
        <v>279</v>
      </c>
      <c r="D48" s="16">
        <v>199.25</v>
      </c>
      <c r="E48" s="17">
        <v>0.2</v>
      </c>
      <c r="F48" s="18" t="s">
        <v>407</v>
      </c>
      <c r="G48" s="19" t="s">
        <v>408</v>
      </c>
      <c r="H48">
        <f>MATCH(A48,[4]茵曼库存!$A:$A,0)</f>
        <v>49</v>
      </c>
    </row>
    <row r="49" ht="82.5" spans="1:8">
      <c r="A49" s="29">
        <v>18538094</v>
      </c>
      <c r="B49" s="30" t="s">
        <v>94</v>
      </c>
      <c r="C49" s="30">
        <v>349</v>
      </c>
      <c r="D49" s="4">
        <v>239</v>
      </c>
      <c r="E49" s="5">
        <v>0.2</v>
      </c>
      <c r="F49" s="31" t="s">
        <v>409</v>
      </c>
      <c r="G49" s="31" t="s">
        <v>250</v>
      </c>
      <c r="H49">
        <f>MATCH(A49,[4]茵曼库存!$A:$A,0)</f>
        <v>50</v>
      </c>
    </row>
    <row r="50" ht="49.5" spans="1:8">
      <c r="A50" s="20" t="s">
        <v>410</v>
      </c>
      <c r="B50" s="3" t="s">
        <v>94</v>
      </c>
      <c r="C50" s="3">
        <v>369</v>
      </c>
      <c r="D50" s="4">
        <v>249</v>
      </c>
      <c r="E50" s="5">
        <v>0.2</v>
      </c>
      <c r="F50" s="6" t="str">
        <f>VLOOKUP(A50,[2]Sheet1!$A:$G,7,FALSE)</f>
        <v>复古红、宝蓝色、梨花杏</v>
      </c>
      <c r="G50" s="6" t="str">
        <f>VLOOKUP(A50,[2]Sheet1!$A:$L,12,FALSE)</f>
        <v>面料:100%棉</v>
      </c>
      <c r="H50">
        <f>MATCH(A50,[4]茵曼库存!$A:$A,0)</f>
        <v>51</v>
      </c>
    </row>
    <row r="51" ht="27" spans="1:8">
      <c r="A51" s="10">
        <v>18518171</v>
      </c>
      <c r="B51" s="10" t="s">
        <v>94</v>
      </c>
      <c r="C51" s="11">
        <v>299</v>
      </c>
      <c r="D51" s="8">
        <v>239</v>
      </c>
      <c r="E51" s="5">
        <v>0.2</v>
      </c>
      <c r="F51" s="12" t="s">
        <v>411</v>
      </c>
      <c r="G51" s="10" t="s">
        <v>49</v>
      </c>
      <c r="H51">
        <f>MATCH(A51,[4]茵曼库存!$A:$A,0)</f>
        <v>52</v>
      </c>
    </row>
    <row r="52" ht="49.5" spans="1:8">
      <c r="A52" s="20">
        <v>18637117</v>
      </c>
      <c r="B52" s="3" t="s">
        <v>94</v>
      </c>
      <c r="C52" s="3">
        <v>349</v>
      </c>
      <c r="D52" s="4">
        <v>249</v>
      </c>
      <c r="E52" s="5">
        <v>0.2</v>
      </c>
      <c r="F52" s="6" t="str">
        <f>VLOOKUP(A52,[2]Sheet1!$A:$G,7,FALSE)</f>
        <v>浅牛仔</v>
      </c>
      <c r="G52" s="6" t="str">
        <f>VLOOKUP(A52,[2]Sheet1!$A:$L,12,FALSE)</f>
        <v>面料:100%棉</v>
      </c>
      <c r="H52">
        <f>MATCH(A52,[4]茵曼库存!$A:$A,0)</f>
        <v>53</v>
      </c>
    </row>
    <row r="53" ht="82.5" spans="1:8">
      <c r="A53" s="20">
        <v>18637123</v>
      </c>
      <c r="B53" s="3" t="s">
        <v>94</v>
      </c>
      <c r="C53" s="3">
        <v>409</v>
      </c>
      <c r="D53" s="4">
        <v>259</v>
      </c>
      <c r="E53" s="5">
        <v>0.2</v>
      </c>
      <c r="F53" s="6" t="str">
        <f>VLOOKUP(A53,[2]Sheet1!$A:$G,7,FALSE)</f>
        <v>棕色、藏青色、紫色</v>
      </c>
      <c r="G53" s="6" t="str">
        <f>VLOOKUP(A53,[2]Sheet1!$A:$L,12,FALSE)</f>
        <v>面料：100%棉 里料： 100%聚酯纤维</v>
      </c>
      <c r="H53">
        <f>MATCH(A53,[4]茵曼库存!$A:$A,0)</f>
        <v>54</v>
      </c>
    </row>
    <row r="54" ht="33" spans="1:8">
      <c r="A54" s="20">
        <v>18637280</v>
      </c>
      <c r="B54" s="3" t="s">
        <v>94</v>
      </c>
      <c r="C54" s="3">
        <v>409</v>
      </c>
      <c r="D54" s="4">
        <v>299</v>
      </c>
      <c r="E54" s="5">
        <v>0.2</v>
      </c>
      <c r="F54" s="6" t="str">
        <f>VLOOKUP(A54,[2]Sheet1!$A:$G,7,FALSE)</f>
        <v>粉红色</v>
      </c>
      <c r="G54" s="6" t="str">
        <f>VLOOKUP(A54,[2]Sheet1!$A:$L,12,FALSE)</f>
        <v>面料：100%棉</v>
      </c>
      <c r="H54">
        <f>MATCH(A54,[4]茵曼库存!$A:$A,0)</f>
        <v>55</v>
      </c>
    </row>
    <row r="55" ht="148.5" spans="1:8">
      <c r="A55" s="20">
        <v>18637090</v>
      </c>
      <c r="B55" s="3" t="s">
        <v>94</v>
      </c>
      <c r="C55" s="3">
        <v>399</v>
      </c>
      <c r="D55" s="4">
        <v>299</v>
      </c>
      <c r="E55" s="5">
        <v>0.2</v>
      </c>
      <c r="F55" s="6" t="str">
        <f>VLOOKUP(A55,[2]Sheet1!$A:$G,7,FALSE)</f>
        <v>深藏青</v>
      </c>
      <c r="G55" s="6" t="str">
        <f>VLOOKUP(A55,[2]Sheet1!$A:$L,12,FALSE)</f>
        <v>面料：80.3%聚酯纤维 19.7%棉（贴布绣除外）里料：100%聚酯纤维</v>
      </c>
      <c r="H55">
        <f>MATCH(A55,[4]茵曼库存!$A:$A,0)</f>
        <v>56</v>
      </c>
    </row>
    <row r="56" ht="132" spans="1:8">
      <c r="A56" s="20">
        <v>18637468</v>
      </c>
      <c r="B56" s="3" t="s">
        <v>94</v>
      </c>
      <c r="C56" s="3">
        <v>399</v>
      </c>
      <c r="D56" s="4">
        <v>289</v>
      </c>
      <c r="E56" s="5">
        <v>0.2</v>
      </c>
      <c r="F56" s="6" t="str">
        <f>VLOOKUP(A56,[2]Sheet1!$A:$G,7,FALSE)</f>
        <v>午夜黑、花白色</v>
      </c>
      <c r="G56" s="6" t="str">
        <f>VLOOKUP(A56,[2]Sheet1!$A:$L,12,FALSE)</f>
        <v>面料：100%聚酯纤维（贴衬布除外） 里料：100%聚酯纤维</v>
      </c>
      <c r="H56">
        <f>MATCH(A56,[4]茵曼库存!$A:$A,0)</f>
        <v>57</v>
      </c>
    </row>
    <row r="57" ht="247.5" spans="1:8">
      <c r="A57" s="20">
        <v>18438082</v>
      </c>
      <c r="B57" s="3" t="s">
        <v>94</v>
      </c>
      <c r="C57" s="3">
        <v>459</v>
      </c>
      <c r="D57" s="4">
        <v>299</v>
      </c>
      <c r="E57" s="5">
        <v>0.2</v>
      </c>
      <c r="F57" s="6" t="str">
        <f>VLOOKUP(A57,[2]Sheet1!$A:$G,7,FALSE)</f>
        <v>粉色、鹅黄色、浅粉色、电光蓝、杏色、浅卡其</v>
      </c>
      <c r="G57" s="6" t="str">
        <f>VLOOKUP(A57,[2]Sheet1!$A:$L,12,FALSE)</f>
        <v>首单面料：100%聚酯纤维 里料：100%聚酯纤维
返单：面料：面层/底层：100%聚酯纤维 里料：100%聚酯纤维</v>
      </c>
      <c r="H57">
        <f>MATCH(A57,[4]茵曼库存!$A:$A,0)</f>
        <v>58</v>
      </c>
    </row>
    <row r="58" ht="22.5" spans="1:8">
      <c r="A58" s="20">
        <v>18332179</v>
      </c>
      <c r="B58" s="3" t="s">
        <v>94</v>
      </c>
      <c r="C58" s="6">
        <v>459</v>
      </c>
      <c r="D58" s="4">
        <v>299</v>
      </c>
      <c r="E58" s="5">
        <v>0.2</v>
      </c>
      <c r="F58" s="6" t="s">
        <v>412</v>
      </c>
      <c r="G58" s="6"/>
      <c r="H58">
        <f>MATCH(A58,[4]茵曼库存!$A:$A,0)</f>
        <v>59</v>
      </c>
    </row>
    <row r="59" ht="49.5" spans="1:8">
      <c r="A59" s="15">
        <v>18637470</v>
      </c>
      <c r="B59" s="15" t="s">
        <v>94</v>
      </c>
      <c r="C59" s="15">
        <v>359</v>
      </c>
      <c r="D59" s="16">
        <v>249</v>
      </c>
      <c r="E59" s="17">
        <v>0.2</v>
      </c>
      <c r="F59" s="18" t="s">
        <v>413</v>
      </c>
      <c r="G59" s="19" t="s">
        <v>377</v>
      </c>
      <c r="H59">
        <f>MATCH(A59,[4]茵曼库存!$A:$A,0)</f>
        <v>60</v>
      </c>
    </row>
    <row r="60" ht="33" spans="1:8">
      <c r="A60" s="15">
        <v>18637254</v>
      </c>
      <c r="B60" s="15" t="s">
        <v>94</v>
      </c>
      <c r="C60" s="15">
        <v>399</v>
      </c>
      <c r="D60" s="16">
        <v>299</v>
      </c>
      <c r="E60" s="17">
        <v>0.2</v>
      </c>
      <c r="F60" s="18" t="s">
        <v>414</v>
      </c>
      <c r="G60" s="19" t="s">
        <v>250</v>
      </c>
      <c r="H60">
        <f>MATCH(A60,[4]茵曼库存!$A:$A,0)</f>
        <v>61</v>
      </c>
    </row>
    <row r="61" ht="115.5" spans="1:8">
      <c r="A61" s="15">
        <v>18637359</v>
      </c>
      <c r="B61" s="15" t="s">
        <v>94</v>
      </c>
      <c r="C61" s="15">
        <v>399</v>
      </c>
      <c r="D61" s="16">
        <v>289</v>
      </c>
      <c r="E61" s="17">
        <v>0.2</v>
      </c>
      <c r="F61" s="18" t="s">
        <v>415</v>
      </c>
      <c r="G61" s="19" t="s">
        <v>416</v>
      </c>
      <c r="H61">
        <f>MATCH(A61,[4]茵曼库存!$A:$A,0)</f>
        <v>62</v>
      </c>
    </row>
    <row r="62" ht="231" spans="1:8">
      <c r="A62" s="15" t="s">
        <v>417</v>
      </c>
      <c r="B62" s="15" t="s">
        <v>94</v>
      </c>
      <c r="C62" s="15">
        <v>409</v>
      </c>
      <c r="D62" s="16">
        <v>337.65</v>
      </c>
      <c r="E62" s="17">
        <v>0.2</v>
      </c>
      <c r="F62" s="18" t="s">
        <v>418</v>
      </c>
      <c r="G62" s="19" t="s">
        <v>419</v>
      </c>
      <c r="H62">
        <f>MATCH(A62,[4]茵曼库存!$A:$A,0)</f>
        <v>63</v>
      </c>
    </row>
    <row r="63" ht="115.5" spans="1:8">
      <c r="A63" s="15">
        <v>18637241</v>
      </c>
      <c r="B63" s="15" t="s">
        <v>94</v>
      </c>
      <c r="C63" s="15">
        <v>399</v>
      </c>
      <c r="D63" s="16">
        <v>289</v>
      </c>
      <c r="E63" s="17">
        <v>0.2</v>
      </c>
      <c r="F63" s="18" t="s">
        <v>420</v>
      </c>
      <c r="G63" s="19" t="s">
        <v>421</v>
      </c>
      <c r="H63">
        <f>MATCH(A63,[4]茵曼库存!$A:$A,0)</f>
        <v>64</v>
      </c>
    </row>
    <row r="64" ht="49.5" spans="1:8">
      <c r="A64" s="15">
        <v>18637350</v>
      </c>
      <c r="B64" s="15" t="s">
        <v>94</v>
      </c>
      <c r="C64" s="15">
        <v>409</v>
      </c>
      <c r="D64" s="16">
        <v>337.65</v>
      </c>
      <c r="E64" s="17">
        <v>0.2</v>
      </c>
      <c r="F64" s="18" t="s">
        <v>420</v>
      </c>
      <c r="G64" s="19" t="s">
        <v>377</v>
      </c>
      <c r="H64">
        <f>MATCH(A64,[4]茵曼库存!$A:$A,0)</f>
        <v>65</v>
      </c>
    </row>
    <row r="65" ht="115.5" spans="1:8">
      <c r="A65" s="15">
        <v>18637321</v>
      </c>
      <c r="B65" s="15" t="s">
        <v>94</v>
      </c>
      <c r="C65" s="15">
        <v>419</v>
      </c>
      <c r="D65" s="16">
        <v>346.15</v>
      </c>
      <c r="E65" s="17">
        <v>0.2</v>
      </c>
      <c r="F65" s="18" t="s">
        <v>422</v>
      </c>
      <c r="G65" s="19" t="s">
        <v>423</v>
      </c>
      <c r="H65">
        <f>MATCH(A65,[4]茵曼库存!$A:$A,0)</f>
        <v>66</v>
      </c>
    </row>
    <row r="66" ht="99" spans="1:8">
      <c r="A66" s="15">
        <v>18637126</v>
      </c>
      <c r="B66" s="15" t="s">
        <v>94</v>
      </c>
      <c r="C66" s="15">
        <v>349</v>
      </c>
      <c r="D66" s="16">
        <v>259</v>
      </c>
      <c r="E66" s="17">
        <v>0.2</v>
      </c>
      <c r="F66" s="18" t="s">
        <v>424</v>
      </c>
      <c r="G66" s="19" t="s">
        <v>425</v>
      </c>
      <c r="H66">
        <f>MATCH(A66,[4]茵曼库存!$A:$A,0)</f>
        <v>67</v>
      </c>
    </row>
    <row r="67" ht="82.5" spans="1:8">
      <c r="A67" s="15">
        <v>18637277</v>
      </c>
      <c r="B67" s="15" t="s">
        <v>94</v>
      </c>
      <c r="C67" s="15">
        <v>409</v>
      </c>
      <c r="D67" s="16">
        <v>337.65</v>
      </c>
      <c r="E67" s="17">
        <v>0.2</v>
      </c>
      <c r="F67" s="18" t="s">
        <v>426</v>
      </c>
      <c r="G67" s="19" t="s">
        <v>427</v>
      </c>
      <c r="H67">
        <f>MATCH(A67,[4]茵曼库存!$A:$A,0)</f>
        <v>68</v>
      </c>
    </row>
    <row r="68" ht="115.5" spans="1:8">
      <c r="A68" s="15">
        <v>18637271</v>
      </c>
      <c r="B68" s="15" t="s">
        <v>94</v>
      </c>
      <c r="C68" s="15">
        <v>409</v>
      </c>
      <c r="D68" s="16">
        <v>337.65</v>
      </c>
      <c r="E68" s="17">
        <v>0.2</v>
      </c>
      <c r="F68" s="18" t="s">
        <v>428</v>
      </c>
      <c r="G68" s="19" t="s">
        <v>429</v>
      </c>
      <c r="H68">
        <f>MATCH(A68,[4]茵曼库存!$A:$A,0)</f>
        <v>69</v>
      </c>
    </row>
    <row r="69" ht="33" spans="1:8">
      <c r="A69" s="7" t="s">
        <v>430</v>
      </c>
      <c r="B69" s="6" t="s">
        <v>118</v>
      </c>
      <c r="C69" s="6">
        <v>289</v>
      </c>
      <c r="D69" s="8">
        <v>189</v>
      </c>
      <c r="E69" s="5">
        <v>0.2</v>
      </c>
      <c r="F69" s="6" t="s">
        <v>431</v>
      </c>
      <c r="G69" s="6" t="s">
        <v>250</v>
      </c>
      <c r="H69">
        <f>MATCH(A69,[4]茵曼库存!$A:$A,0)</f>
        <v>70</v>
      </c>
    </row>
    <row r="70" ht="49.5" spans="1:8">
      <c r="A70" s="3" t="s">
        <v>432</v>
      </c>
      <c r="B70" s="3" t="s">
        <v>118</v>
      </c>
      <c r="C70" s="3">
        <v>369</v>
      </c>
      <c r="D70" s="8">
        <v>219</v>
      </c>
      <c r="E70" s="5">
        <v>0.15</v>
      </c>
      <c r="F70" s="3" t="s">
        <v>433</v>
      </c>
      <c r="G70" s="6" t="s">
        <v>302</v>
      </c>
      <c r="H70">
        <f>MATCH(A70,[4]茵曼库存!$A:$A,0)</f>
        <v>71</v>
      </c>
    </row>
    <row r="71" ht="231" spans="1:8">
      <c r="A71" s="3" t="s">
        <v>434</v>
      </c>
      <c r="B71" s="3" t="s">
        <v>118</v>
      </c>
      <c r="C71" s="3">
        <v>339</v>
      </c>
      <c r="D71" s="8">
        <v>199</v>
      </c>
      <c r="E71" s="5">
        <v>0.2</v>
      </c>
      <c r="F71" s="3" t="s">
        <v>435</v>
      </c>
      <c r="G71" s="6" t="s">
        <v>436</v>
      </c>
      <c r="H71">
        <f>MATCH(A71,[4]茵曼库存!$A:$A,0)</f>
        <v>72</v>
      </c>
    </row>
    <row r="72" ht="33" spans="1:8">
      <c r="A72" s="3" t="s">
        <v>437</v>
      </c>
      <c r="B72" s="3" t="s">
        <v>118</v>
      </c>
      <c r="C72" s="3">
        <v>259</v>
      </c>
      <c r="D72" s="8">
        <v>189</v>
      </c>
      <c r="E72" s="5">
        <v>0.2</v>
      </c>
      <c r="F72" s="3" t="s">
        <v>438</v>
      </c>
      <c r="G72" s="6" t="s">
        <v>439</v>
      </c>
      <c r="H72">
        <f>MATCH(A72,[4]茵曼库存!$A:$A,0)</f>
        <v>73</v>
      </c>
    </row>
    <row r="73" ht="66" spans="1:8">
      <c r="A73" s="10" t="s">
        <v>440</v>
      </c>
      <c r="B73" s="10" t="s">
        <v>118</v>
      </c>
      <c r="C73" s="11">
        <v>239</v>
      </c>
      <c r="D73" s="8">
        <v>199</v>
      </c>
      <c r="E73" s="5">
        <v>0.2</v>
      </c>
      <c r="F73" s="12" t="s">
        <v>441</v>
      </c>
      <c r="G73" s="10" t="s">
        <v>442</v>
      </c>
      <c r="H73">
        <f>MATCH(A73,[4]茵曼库存!$A:$A,0)</f>
        <v>74</v>
      </c>
    </row>
    <row r="74" ht="49.5" spans="1:8">
      <c r="A74" s="3" t="s">
        <v>443</v>
      </c>
      <c r="B74" s="3" t="s">
        <v>118</v>
      </c>
      <c r="C74" s="3">
        <v>369</v>
      </c>
      <c r="D74" s="8">
        <v>199</v>
      </c>
      <c r="E74" s="5">
        <v>0.2</v>
      </c>
      <c r="F74" s="3" t="s">
        <v>330</v>
      </c>
      <c r="G74" s="6" t="s">
        <v>444</v>
      </c>
      <c r="H74">
        <f>MATCH(A74,[4]茵曼库存!$A:$A,0)</f>
        <v>75</v>
      </c>
    </row>
    <row r="75" ht="82.5" spans="1:8">
      <c r="A75" s="3" t="s">
        <v>445</v>
      </c>
      <c r="B75" s="3" t="s">
        <v>118</v>
      </c>
      <c r="C75" s="3">
        <v>329</v>
      </c>
      <c r="D75" s="8">
        <v>199</v>
      </c>
      <c r="E75" s="5">
        <v>0.2</v>
      </c>
      <c r="F75" s="3" t="s">
        <v>446</v>
      </c>
      <c r="G75" s="6" t="s">
        <v>447</v>
      </c>
      <c r="H75">
        <f>MATCH(A75,[4]茵曼库存!$A:$A,0)</f>
        <v>76</v>
      </c>
    </row>
    <row r="76" ht="99" spans="1:8">
      <c r="A76" s="10">
        <v>18538162</v>
      </c>
      <c r="B76" s="10" t="s">
        <v>118</v>
      </c>
      <c r="C76" s="11">
        <v>329</v>
      </c>
      <c r="D76" s="8">
        <v>229</v>
      </c>
      <c r="E76" s="5">
        <v>0.2</v>
      </c>
      <c r="F76" s="12" t="s">
        <v>441</v>
      </c>
      <c r="G76" s="10" t="s">
        <v>448</v>
      </c>
      <c r="H76">
        <f>MATCH(A76,[4]茵曼库存!$A:$A,0)</f>
        <v>77</v>
      </c>
    </row>
    <row r="77" ht="115.5" spans="1:8">
      <c r="A77" s="20">
        <v>18637753</v>
      </c>
      <c r="B77" s="3" t="s">
        <v>118</v>
      </c>
      <c r="C77" s="3">
        <v>299</v>
      </c>
      <c r="D77" s="4">
        <v>199</v>
      </c>
      <c r="E77" s="5">
        <v>0.2</v>
      </c>
      <c r="F77" s="6" t="str">
        <f>VLOOKUP(A77,[2]Sheet1!$A:$G,7,FALSE)</f>
        <v>牛仔蓝、珍珠白</v>
      </c>
      <c r="G77" s="6" t="str">
        <f>VLOOKUP(A77,[2]Sheet1!$A:$L,12,FALSE)</f>
        <v>珍珠白 面料:70.0%棉 30.0%莱赛尔 
牛仔蓝 面料：100%棉</v>
      </c>
      <c r="H77">
        <f>MATCH(A77,[4]茵曼库存!$A:$A,0)</f>
        <v>78</v>
      </c>
    </row>
    <row r="78" ht="49.5" spans="1:8">
      <c r="A78" s="20">
        <v>18637311</v>
      </c>
      <c r="B78" s="3" t="s">
        <v>118</v>
      </c>
      <c r="C78" s="3">
        <v>329</v>
      </c>
      <c r="D78" s="4">
        <v>239</v>
      </c>
      <c r="E78" s="5">
        <v>0.2</v>
      </c>
      <c r="F78" s="6" t="str">
        <f>VLOOKUP(A78,[2]Sheet1!$A:$G,7,FALSE)</f>
        <v>牛仔蓝</v>
      </c>
      <c r="G78" s="6" t="str">
        <f>VLOOKUP(A78,[2]Sheet1!$A:$L,12,FALSE)</f>
        <v>面料:100%棉</v>
      </c>
      <c r="H78">
        <f>MATCH(A78,[4]茵曼库存!$A:$A,0)</f>
        <v>79</v>
      </c>
    </row>
    <row r="79" ht="49.5" spans="1:8">
      <c r="A79" s="20">
        <v>18637658</v>
      </c>
      <c r="B79" s="3" t="s">
        <v>118</v>
      </c>
      <c r="C79" s="3">
        <v>299</v>
      </c>
      <c r="D79" s="4">
        <v>229</v>
      </c>
      <c r="E79" s="5">
        <v>0.2</v>
      </c>
      <c r="F79" s="6" t="str">
        <f>VLOOKUP(A79,[2]Sheet1!$A:$G,7,FALSE)</f>
        <v>牛仔蓝</v>
      </c>
      <c r="G79" s="6" t="str">
        <f>VLOOKUP(A79,[2]Sheet1!$A:$L,12,FALSE)</f>
        <v>面料:100%棉</v>
      </c>
      <c r="H79">
        <f>MATCH(A79,[4]茵曼库存!$A:$A,0)</f>
        <v>80</v>
      </c>
    </row>
    <row r="80" ht="115.5" spans="1:8">
      <c r="A80" s="10" t="s">
        <v>449</v>
      </c>
      <c r="B80" s="10" t="s">
        <v>176</v>
      </c>
      <c r="C80" s="11">
        <v>339</v>
      </c>
      <c r="D80" s="8">
        <v>199</v>
      </c>
      <c r="E80" s="5">
        <v>0.2</v>
      </c>
      <c r="F80" s="12" t="s">
        <v>450</v>
      </c>
      <c r="G80" s="10" t="s">
        <v>451</v>
      </c>
      <c r="H80">
        <f>MATCH(A80,[4]茵曼库存!$A:$A,0)</f>
        <v>81</v>
      </c>
    </row>
    <row r="81" ht="33" spans="1:8">
      <c r="A81" s="10">
        <v>18625668</v>
      </c>
      <c r="B81" s="10" t="s">
        <v>176</v>
      </c>
      <c r="C81" s="11">
        <v>672.5</v>
      </c>
      <c r="D81" s="8">
        <v>279</v>
      </c>
      <c r="E81" s="5">
        <v>0.2</v>
      </c>
      <c r="F81" s="10" t="s">
        <v>452</v>
      </c>
      <c r="G81" s="10" t="s">
        <v>453</v>
      </c>
      <c r="H81">
        <f>MATCH(A81,[4]茵曼库存!$A:$A,0)</f>
        <v>82</v>
      </c>
    </row>
    <row r="82" ht="115.5" spans="1:8">
      <c r="A82" s="7" t="s">
        <v>454</v>
      </c>
      <c r="B82" s="6" t="s">
        <v>176</v>
      </c>
      <c r="C82" s="6">
        <v>469</v>
      </c>
      <c r="D82" s="8">
        <v>189</v>
      </c>
      <c r="E82" s="32">
        <v>0.1</v>
      </c>
      <c r="F82" s="6" t="s">
        <v>450</v>
      </c>
      <c r="G82" s="6" t="s">
        <v>455</v>
      </c>
      <c r="H82">
        <f>MATCH(A82,[4]茵曼库存!$A:$A,0)</f>
        <v>83</v>
      </c>
    </row>
    <row r="83" ht="82.5" spans="1:8">
      <c r="A83" s="10" t="s">
        <v>456</v>
      </c>
      <c r="B83" s="10" t="s">
        <v>176</v>
      </c>
      <c r="C83" s="11">
        <v>772.5</v>
      </c>
      <c r="D83" s="8">
        <v>299</v>
      </c>
      <c r="E83" s="5">
        <v>0.2</v>
      </c>
      <c r="F83" s="10" t="s">
        <v>171</v>
      </c>
      <c r="G83" s="10" t="s">
        <v>457</v>
      </c>
      <c r="H83">
        <f>MATCH(A83,[4]茵曼库存!$A:$A,0)</f>
        <v>84</v>
      </c>
    </row>
    <row r="84" ht="22.5" spans="1:8">
      <c r="A84" s="33" t="s">
        <v>458</v>
      </c>
      <c r="B84" s="33" t="s">
        <v>176</v>
      </c>
      <c r="C84" s="33">
        <v>399</v>
      </c>
      <c r="D84" s="8">
        <v>169</v>
      </c>
      <c r="E84" s="32">
        <v>0.1</v>
      </c>
      <c r="F84" s="12" t="s">
        <v>459</v>
      </c>
      <c r="G84" s="10"/>
      <c r="H84">
        <f>MATCH(A84,[4]茵曼库存!$A:$A,0)</f>
        <v>85</v>
      </c>
    </row>
    <row r="85" ht="115.5" spans="1:8">
      <c r="A85" s="10" t="s">
        <v>460</v>
      </c>
      <c r="B85" s="10" t="s">
        <v>176</v>
      </c>
      <c r="C85" s="10">
        <v>219</v>
      </c>
      <c r="D85" s="4">
        <v>199</v>
      </c>
      <c r="E85" s="5">
        <v>0.2</v>
      </c>
      <c r="F85" s="10" t="s">
        <v>461</v>
      </c>
      <c r="G85" s="10" t="s">
        <v>462</v>
      </c>
      <c r="H85">
        <f>MATCH(A85,[4]茵曼库存!$A:$A,0)</f>
        <v>86</v>
      </c>
    </row>
    <row r="86" ht="94.5" spans="1:8">
      <c r="A86" s="10" t="s">
        <v>463</v>
      </c>
      <c r="B86" s="10" t="s">
        <v>176</v>
      </c>
      <c r="C86" s="10">
        <v>259</v>
      </c>
      <c r="D86" s="4">
        <v>239</v>
      </c>
      <c r="E86" s="5">
        <v>0.2</v>
      </c>
      <c r="F86" s="10" t="s">
        <v>464</v>
      </c>
      <c r="G86" s="14" t="s">
        <v>465</v>
      </c>
      <c r="H86">
        <f>MATCH(A86,[4]茵曼库存!$A:$A,0)</f>
        <v>87</v>
      </c>
    </row>
    <row r="87" ht="27" spans="1:8">
      <c r="A87" s="10" t="s">
        <v>466</v>
      </c>
      <c r="B87" s="10" t="s">
        <v>176</v>
      </c>
      <c r="C87" s="10">
        <v>209</v>
      </c>
      <c r="D87" s="4">
        <v>189</v>
      </c>
      <c r="E87" s="5">
        <v>0.2</v>
      </c>
      <c r="F87" s="10" t="s">
        <v>467</v>
      </c>
      <c r="G87" s="14" t="s">
        <v>250</v>
      </c>
      <c r="H87">
        <f>MATCH(A87,[4]茵曼库存!$A:$A,0)</f>
        <v>88</v>
      </c>
    </row>
    <row r="88" ht="148.5" spans="1:8">
      <c r="A88" s="10" t="s">
        <v>468</v>
      </c>
      <c r="B88" s="10" t="s">
        <v>176</v>
      </c>
      <c r="C88" s="11">
        <v>822.5</v>
      </c>
      <c r="D88" s="8">
        <v>329</v>
      </c>
      <c r="E88" s="5">
        <v>0.2</v>
      </c>
      <c r="F88" s="12" t="s">
        <v>352</v>
      </c>
      <c r="G88" s="10" t="s">
        <v>469</v>
      </c>
      <c r="H88">
        <f>MATCH(A88,[4]茵曼库存!$A:$A,0)</f>
        <v>89</v>
      </c>
    </row>
    <row r="89" ht="115.5" spans="1:8">
      <c r="A89" s="10" t="s">
        <v>470</v>
      </c>
      <c r="B89" s="10" t="s">
        <v>176</v>
      </c>
      <c r="C89" s="11">
        <v>319</v>
      </c>
      <c r="D89" s="8">
        <v>279</v>
      </c>
      <c r="E89" s="5">
        <v>0.2</v>
      </c>
      <c r="F89" s="12" t="s">
        <v>441</v>
      </c>
      <c r="G89" s="10" t="s">
        <v>471</v>
      </c>
      <c r="H89">
        <f>MATCH(A89,[4]茵曼库存!$A:$A,0)</f>
        <v>90</v>
      </c>
    </row>
    <row r="90" ht="99" spans="1:8">
      <c r="A90" s="10" t="s">
        <v>472</v>
      </c>
      <c r="B90" s="10" t="s">
        <v>176</v>
      </c>
      <c r="C90" s="11">
        <v>448.65</v>
      </c>
      <c r="D90" s="8">
        <v>299</v>
      </c>
      <c r="E90" s="5">
        <v>0.2</v>
      </c>
      <c r="F90" s="12" t="s">
        <v>441</v>
      </c>
      <c r="G90" s="10" t="s">
        <v>473</v>
      </c>
      <c r="H90">
        <f>MATCH(A90,[4]茵曼库存!$A:$A,0)</f>
        <v>91</v>
      </c>
    </row>
    <row r="91" ht="148.5" spans="1:8">
      <c r="A91" s="10" t="s">
        <v>474</v>
      </c>
      <c r="B91" s="10" t="s">
        <v>176</v>
      </c>
      <c r="C91" s="10">
        <v>249</v>
      </c>
      <c r="D91" s="4">
        <v>219</v>
      </c>
      <c r="E91" s="5">
        <v>0.2</v>
      </c>
      <c r="F91" s="10" t="s">
        <v>475</v>
      </c>
      <c r="G91" s="10" t="s">
        <v>476</v>
      </c>
      <c r="H91">
        <f>MATCH(A91,[4]茵曼库存!$A:$A,0)</f>
        <v>92</v>
      </c>
    </row>
    <row r="92" ht="247.5" spans="1:8">
      <c r="A92" s="10">
        <v>18525625</v>
      </c>
      <c r="B92" s="10" t="s">
        <v>176</v>
      </c>
      <c r="C92" s="10">
        <v>399</v>
      </c>
      <c r="D92" s="8">
        <v>199</v>
      </c>
      <c r="E92" s="34">
        <v>0.15</v>
      </c>
      <c r="F92" s="13" t="s">
        <v>477</v>
      </c>
      <c r="G92" s="13" t="s">
        <v>478</v>
      </c>
      <c r="H92">
        <f>MATCH(A92,[4]茵曼库存!$A:$A,0)</f>
        <v>93</v>
      </c>
    </row>
    <row r="93" ht="148.5" spans="1:8">
      <c r="A93" s="10" t="s">
        <v>479</v>
      </c>
      <c r="B93" s="10" t="s">
        <v>176</v>
      </c>
      <c r="C93" s="10">
        <v>219</v>
      </c>
      <c r="D93" s="4">
        <v>199</v>
      </c>
      <c r="E93" s="5">
        <v>0.2</v>
      </c>
      <c r="F93" s="10" t="s">
        <v>327</v>
      </c>
      <c r="G93" s="14" t="s">
        <v>480</v>
      </c>
      <c r="H93">
        <f>MATCH(A93,[4]茵曼库存!$A:$A,0)</f>
        <v>94</v>
      </c>
    </row>
    <row r="94" ht="22.5" spans="1:8">
      <c r="A94" s="10" t="s">
        <v>481</v>
      </c>
      <c r="B94" s="10" t="s">
        <v>176</v>
      </c>
      <c r="C94" s="10">
        <v>209</v>
      </c>
      <c r="D94" s="4">
        <v>189</v>
      </c>
      <c r="E94" s="5">
        <v>0.2</v>
      </c>
      <c r="F94" s="10" t="s">
        <v>482</v>
      </c>
      <c r="G94" s="14"/>
      <c r="H94">
        <f>MATCH(A94,[4]茵曼库存!$A:$A,0)</f>
        <v>95</v>
      </c>
    </row>
    <row r="95" ht="33" spans="1:8">
      <c r="A95" s="10">
        <v>18518151</v>
      </c>
      <c r="B95" s="10" t="s">
        <v>176</v>
      </c>
      <c r="C95" s="11">
        <v>399</v>
      </c>
      <c r="D95" s="8">
        <v>279</v>
      </c>
      <c r="E95" s="5">
        <v>0.2</v>
      </c>
      <c r="F95" s="12" t="s">
        <v>483</v>
      </c>
      <c r="G95" s="10" t="s">
        <v>484</v>
      </c>
      <c r="H95">
        <f>MATCH(A95,[4]茵曼库存!$A:$A,0)</f>
        <v>96</v>
      </c>
    </row>
    <row r="96" ht="40.5" spans="1:8">
      <c r="A96" s="10" t="s">
        <v>485</v>
      </c>
      <c r="B96" s="10" t="s">
        <v>176</v>
      </c>
      <c r="C96" s="11">
        <v>447.5</v>
      </c>
      <c r="D96" s="8">
        <v>179</v>
      </c>
      <c r="E96" s="5">
        <v>0.2</v>
      </c>
      <c r="F96" s="12" t="s">
        <v>486</v>
      </c>
      <c r="G96" s="35"/>
      <c r="H96">
        <f>MATCH(A96,[4]茵曼库存!$A:$A,0)</f>
        <v>97</v>
      </c>
    </row>
    <row r="97" ht="82.5" spans="1:8">
      <c r="A97" s="10" t="s">
        <v>487</v>
      </c>
      <c r="B97" s="10" t="s">
        <v>176</v>
      </c>
      <c r="C97" s="10">
        <v>229</v>
      </c>
      <c r="D97" s="4">
        <v>209</v>
      </c>
      <c r="E97" s="5">
        <v>0.2</v>
      </c>
      <c r="F97" s="10" t="s">
        <v>488</v>
      </c>
      <c r="G97" s="10" t="s">
        <v>427</v>
      </c>
      <c r="H97">
        <f>MATCH(A97,[4]茵曼库存!$A:$A,0)</f>
        <v>98</v>
      </c>
    </row>
    <row r="98" ht="66" spans="1:8">
      <c r="A98" s="10" t="s">
        <v>489</v>
      </c>
      <c r="B98" s="10" t="s">
        <v>176</v>
      </c>
      <c r="C98" s="10">
        <v>209</v>
      </c>
      <c r="D98" s="4">
        <v>189</v>
      </c>
      <c r="E98" s="5">
        <v>0.2</v>
      </c>
      <c r="F98" s="10" t="s">
        <v>483</v>
      </c>
      <c r="G98" s="10" t="s">
        <v>490</v>
      </c>
      <c r="H98">
        <f>MATCH(A98,[4]茵曼库存!$A:$A,0)</f>
        <v>99</v>
      </c>
    </row>
    <row r="99" ht="148.5" spans="1:8">
      <c r="A99" s="10" t="s">
        <v>491</v>
      </c>
      <c r="B99" s="36" t="s">
        <v>176</v>
      </c>
      <c r="C99" s="10">
        <v>509</v>
      </c>
      <c r="D99" s="8">
        <v>339</v>
      </c>
      <c r="E99" s="5">
        <v>0.2</v>
      </c>
      <c r="F99" s="10" t="s">
        <v>492</v>
      </c>
      <c r="G99" s="10" t="s">
        <v>493</v>
      </c>
      <c r="H99">
        <f>MATCH(A99,[4]茵曼库存!$A:$A,0)</f>
        <v>100</v>
      </c>
    </row>
    <row r="100" ht="66" spans="1:8">
      <c r="A100" s="7" t="s">
        <v>494</v>
      </c>
      <c r="B100" s="6" t="s">
        <v>495</v>
      </c>
      <c r="C100" s="6">
        <v>239</v>
      </c>
      <c r="D100" s="8">
        <v>129</v>
      </c>
      <c r="E100" s="5">
        <v>0.2</v>
      </c>
      <c r="F100" s="6" t="s">
        <v>496</v>
      </c>
      <c r="G100" s="6" t="s">
        <v>250</v>
      </c>
      <c r="H100">
        <f>MATCH(A100,[4]茵曼库存!$A:$A,0)</f>
        <v>101</v>
      </c>
    </row>
    <row r="101" ht="82.5" spans="1:8">
      <c r="A101" s="7">
        <v>18625098</v>
      </c>
      <c r="B101" s="6" t="s">
        <v>495</v>
      </c>
      <c r="C101" s="6">
        <v>229</v>
      </c>
      <c r="D101" s="8">
        <v>139</v>
      </c>
      <c r="E101" s="5">
        <v>0.2</v>
      </c>
      <c r="F101" s="6" t="s">
        <v>497</v>
      </c>
      <c r="G101" s="6" t="s">
        <v>498</v>
      </c>
      <c r="H101">
        <f>MATCH(A101,[4]茵曼库存!$A:$A,0)</f>
        <v>102</v>
      </c>
    </row>
    <row r="102" ht="33" spans="1:8">
      <c r="A102" s="37">
        <v>18625594</v>
      </c>
      <c r="B102" s="6" t="s">
        <v>495</v>
      </c>
      <c r="C102" s="6">
        <v>259</v>
      </c>
      <c r="D102" s="8">
        <v>219</v>
      </c>
      <c r="E102" s="5">
        <v>0.2</v>
      </c>
      <c r="F102" s="6" t="s">
        <v>171</v>
      </c>
      <c r="G102" s="6" t="s">
        <v>250</v>
      </c>
      <c r="H102">
        <f>MATCH(A102,[4]茵曼库存!$A:$A,0)</f>
        <v>103</v>
      </c>
    </row>
    <row r="103" ht="49.5" spans="1:8">
      <c r="A103" s="37">
        <v>18625452</v>
      </c>
      <c r="B103" s="6" t="s">
        <v>495</v>
      </c>
      <c r="C103" s="6">
        <v>229</v>
      </c>
      <c r="D103" s="8">
        <v>119</v>
      </c>
      <c r="E103" s="5">
        <v>0.2</v>
      </c>
      <c r="F103" s="6" t="s">
        <v>499</v>
      </c>
      <c r="G103" s="6"/>
      <c r="H103">
        <f>MATCH(A103,[4]茵曼库存!$A:$A,0)</f>
        <v>104</v>
      </c>
    </row>
    <row r="104" ht="33" spans="1:8">
      <c r="A104" s="10" t="s">
        <v>500</v>
      </c>
      <c r="B104" s="10" t="s">
        <v>495</v>
      </c>
      <c r="C104" s="10">
        <v>149</v>
      </c>
      <c r="D104" s="4">
        <v>129</v>
      </c>
      <c r="E104" s="5">
        <v>0.2</v>
      </c>
      <c r="F104" s="10" t="s">
        <v>461</v>
      </c>
      <c r="G104" s="6"/>
      <c r="H104">
        <f>MATCH(A104,[4]茵曼库存!$A:$A,0)</f>
        <v>105</v>
      </c>
    </row>
    <row r="105" ht="66" spans="1:8">
      <c r="A105" s="7">
        <v>18627766</v>
      </c>
      <c r="B105" s="6" t="s">
        <v>495</v>
      </c>
      <c r="C105" s="11">
        <v>149</v>
      </c>
      <c r="D105" s="8">
        <v>99</v>
      </c>
      <c r="E105" s="34">
        <v>0.15</v>
      </c>
      <c r="F105" s="12" t="s">
        <v>501</v>
      </c>
      <c r="G105" s="10" t="s">
        <v>502</v>
      </c>
      <c r="H105">
        <f>MATCH(A105,[4]茵曼库存!$A:$A,0)</f>
        <v>106</v>
      </c>
    </row>
    <row r="106" ht="54" spans="1:8">
      <c r="A106" s="10" t="s">
        <v>503</v>
      </c>
      <c r="B106" s="10" t="s">
        <v>495</v>
      </c>
      <c r="C106" s="10">
        <v>169</v>
      </c>
      <c r="D106" s="8">
        <v>99</v>
      </c>
      <c r="E106" s="5">
        <v>0.2</v>
      </c>
      <c r="F106" s="12" t="s">
        <v>504</v>
      </c>
      <c r="G106" s="13" t="s">
        <v>250</v>
      </c>
      <c r="H106">
        <f>MATCH(A106,[4]茵曼库存!$A:$A,0)</f>
        <v>107</v>
      </c>
    </row>
    <row r="107" ht="49.5" spans="1:8">
      <c r="A107" s="7">
        <v>18625033</v>
      </c>
      <c r="B107" s="6" t="s">
        <v>495</v>
      </c>
      <c r="C107" s="6">
        <v>219</v>
      </c>
      <c r="D107" s="8">
        <v>139</v>
      </c>
      <c r="E107" s="5">
        <v>0.2</v>
      </c>
      <c r="F107" s="6" t="s">
        <v>505</v>
      </c>
      <c r="G107" s="6" t="s">
        <v>439</v>
      </c>
      <c r="H107">
        <f>MATCH(A107,[4]茵曼库存!$A:$A,0)</f>
        <v>108</v>
      </c>
    </row>
    <row r="108" ht="49.5" spans="1:8">
      <c r="A108" s="7">
        <v>18628332</v>
      </c>
      <c r="B108" s="6" t="s">
        <v>495</v>
      </c>
      <c r="C108" s="6">
        <v>199</v>
      </c>
      <c r="D108" s="8">
        <v>139</v>
      </c>
      <c r="E108" s="5">
        <v>0.2</v>
      </c>
      <c r="F108" s="6" t="s">
        <v>506</v>
      </c>
      <c r="G108" s="6" t="s">
        <v>377</v>
      </c>
      <c r="H108">
        <f>MATCH(A108,[4]茵曼库存!$A:$A,0)</f>
        <v>109</v>
      </c>
    </row>
    <row r="109" ht="33" spans="1:8">
      <c r="A109" s="10" t="s">
        <v>507</v>
      </c>
      <c r="B109" s="10" t="s">
        <v>495</v>
      </c>
      <c r="C109" s="10">
        <v>169</v>
      </c>
      <c r="D109" s="4">
        <v>149</v>
      </c>
      <c r="E109" s="5">
        <v>0.2</v>
      </c>
      <c r="F109" s="10" t="s">
        <v>508</v>
      </c>
      <c r="G109" s="10" t="s">
        <v>49</v>
      </c>
      <c r="H109">
        <f>MATCH(A109,[4]茵曼库存!$A:$A,0)</f>
        <v>110</v>
      </c>
    </row>
    <row r="110" ht="49.5" spans="1:8">
      <c r="A110" s="3" t="s">
        <v>509</v>
      </c>
      <c r="B110" s="3" t="s">
        <v>495</v>
      </c>
      <c r="C110" s="3">
        <v>199</v>
      </c>
      <c r="D110" s="8">
        <v>119</v>
      </c>
      <c r="E110" s="5">
        <v>0.2</v>
      </c>
      <c r="F110" s="3" t="s">
        <v>510</v>
      </c>
      <c r="G110" s="6" t="s">
        <v>511</v>
      </c>
      <c r="H110">
        <f>MATCH(A110,[4]茵曼库存!$A:$A,0)</f>
        <v>111</v>
      </c>
    </row>
    <row r="111" ht="22.5" spans="1:8">
      <c r="A111" s="10" t="s">
        <v>512</v>
      </c>
      <c r="B111" s="10" t="s">
        <v>495</v>
      </c>
      <c r="C111" s="10">
        <v>239</v>
      </c>
      <c r="D111" s="8">
        <v>119</v>
      </c>
      <c r="E111" s="5">
        <v>0.2</v>
      </c>
      <c r="F111" s="12" t="s">
        <v>513</v>
      </c>
      <c r="G111" s="10" t="s">
        <v>514</v>
      </c>
      <c r="H111">
        <f>MATCH(A111,[4]茵曼库存!$A:$A,0)</f>
        <v>112</v>
      </c>
    </row>
    <row r="112" ht="99" spans="1:8">
      <c r="A112" s="33">
        <v>18528431</v>
      </c>
      <c r="B112" s="10" t="s">
        <v>495</v>
      </c>
      <c r="C112" s="38">
        <v>382.051282051282</v>
      </c>
      <c r="D112" s="8">
        <v>149</v>
      </c>
      <c r="E112" s="5">
        <v>0.2</v>
      </c>
      <c r="F112" s="12" t="s">
        <v>388</v>
      </c>
      <c r="G112" s="33" t="s">
        <v>515</v>
      </c>
      <c r="H112">
        <f>MATCH(A112,[4]茵曼库存!$A:$A,0)</f>
        <v>113</v>
      </c>
    </row>
    <row r="113" ht="22.5" spans="1:8">
      <c r="A113" s="33">
        <v>18625438</v>
      </c>
      <c r="B113" s="10" t="s">
        <v>495</v>
      </c>
      <c r="C113" s="38">
        <v>380.375</v>
      </c>
      <c r="D113" s="8">
        <v>119</v>
      </c>
      <c r="E113" s="5">
        <v>0.2</v>
      </c>
      <c r="F113" s="12" t="s">
        <v>385</v>
      </c>
      <c r="G113" s="33" t="s">
        <v>49</v>
      </c>
      <c r="H113">
        <f>MATCH(A113,[4]茵曼库存!$A:$A,0)</f>
        <v>114</v>
      </c>
    </row>
    <row r="114" ht="181.5" spans="1:8">
      <c r="A114" s="7" t="s">
        <v>516</v>
      </c>
      <c r="B114" s="6" t="s">
        <v>495</v>
      </c>
      <c r="C114" s="6">
        <v>299</v>
      </c>
      <c r="D114" s="8">
        <v>129</v>
      </c>
      <c r="E114" s="32">
        <v>0.1</v>
      </c>
      <c r="F114" s="6" t="s">
        <v>517</v>
      </c>
      <c r="G114" s="6" t="s">
        <v>518</v>
      </c>
      <c r="H114">
        <f>MATCH(A114,[4]茵曼库存!$A:$A,0)</f>
        <v>115</v>
      </c>
    </row>
    <row r="115" ht="165" spans="1:8">
      <c r="A115" s="33">
        <v>18225312</v>
      </c>
      <c r="B115" s="10" t="s">
        <v>495</v>
      </c>
      <c r="C115" s="33">
        <v>199</v>
      </c>
      <c r="D115" s="8">
        <v>149</v>
      </c>
      <c r="E115" s="5">
        <v>0.2</v>
      </c>
      <c r="F115" s="12" t="s">
        <v>519</v>
      </c>
      <c r="G115" s="13" t="s">
        <v>520</v>
      </c>
      <c r="H115">
        <f>MATCH(A115,[4]茵曼库存!$A:$A,0)</f>
        <v>116</v>
      </c>
    </row>
    <row r="116" ht="66" spans="1:8">
      <c r="A116" s="33">
        <v>18627545</v>
      </c>
      <c r="B116" s="10" t="s">
        <v>495</v>
      </c>
      <c r="C116" s="38">
        <v>486.625</v>
      </c>
      <c r="D116" s="8">
        <v>109</v>
      </c>
      <c r="E116" s="39">
        <v>0.1</v>
      </c>
      <c r="F116" s="12" t="s">
        <v>521</v>
      </c>
      <c r="G116" s="33" t="s">
        <v>502</v>
      </c>
      <c r="H116">
        <f>MATCH(A116,[4]茵曼库存!$A:$A,0)</f>
        <v>117</v>
      </c>
    </row>
    <row r="117" ht="99" spans="1:8">
      <c r="A117" s="10">
        <v>18525774</v>
      </c>
      <c r="B117" s="10" t="s">
        <v>495</v>
      </c>
      <c r="C117" s="10">
        <v>299</v>
      </c>
      <c r="D117" s="8">
        <v>129</v>
      </c>
      <c r="E117" s="34">
        <v>0.15</v>
      </c>
      <c r="F117" s="12" t="s">
        <v>388</v>
      </c>
      <c r="G117" s="13" t="s">
        <v>522</v>
      </c>
      <c r="H117">
        <f>MATCH(A117,[4]茵曼库存!$A:$A,0)</f>
        <v>118</v>
      </c>
    </row>
    <row r="118" ht="22.5" spans="1:8">
      <c r="A118" s="10">
        <v>18625598</v>
      </c>
      <c r="B118" s="10" t="s">
        <v>495</v>
      </c>
      <c r="C118" s="11">
        <v>397.5</v>
      </c>
      <c r="D118" s="8">
        <v>179</v>
      </c>
      <c r="E118" s="5">
        <v>0.2</v>
      </c>
      <c r="F118" s="12" t="s">
        <v>523</v>
      </c>
      <c r="G118" s="10"/>
      <c r="H118">
        <f>MATCH(A118,[4]茵曼库存!$A:$A,0)</f>
        <v>119</v>
      </c>
    </row>
    <row r="119" ht="27" spans="1:8">
      <c r="A119" s="10">
        <v>18625548</v>
      </c>
      <c r="B119" s="10" t="s">
        <v>495</v>
      </c>
      <c r="C119" s="11">
        <v>592.875</v>
      </c>
      <c r="D119" s="8">
        <v>179</v>
      </c>
      <c r="E119" s="5">
        <v>0.2</v>
      </c>
      <c r="F119" s="12" t="s">
        <v>524</v>
      </c>
      <c r="G119" s="10" t="s">
        <v>49</v>
      </c>
      <c r="H119">
        <f>MATCH(A119,[4]茵曼库存!$A:$A,0)</f>
        <v>120</v>
      </c>
    </row>
    <row r="120" ht="22.5" spans="1:8">
      <c r="A120" s="10">
        <v>18625550</v>
      </c>
      <c r="B120" s="10" t="s">
        <v>495</v>
      </c>
      <c r="C120" s="11">
        <v>497.5</v>
      </c>
      <c r="D120" s="8">
        <v>199</v>
      </c>
      <c r="E120" s="5">
        <v>0.2</v>
      </c>
      <c r="F120" s="12" t="s">
        <v>525</v>
      </c>
      <c r="G120" s="10" t="s">
        <v>49</v>
      </c>
      <c r="H120">
        <f>MATCH(A120,[4]茵曼库存!$A:$A,0)</f>
        <v>121</v>
      </c>
    </row>
    <row r="121" ht="82.5" spans="1:8">
      <c r="A121" s="7" t="s">
        <v>526</v>
      </c>
      <c r="B121" s="6" t="s">
        <v>216</v>
      </c>
      <c r="C121" s="6">
        <v>119</v>
      </c>
      <c r="D121" s="8">
        <v>69</v>
      </c>
      <c r="E121" s="5">
        <v>0.2</v>
      </c>
      <c r="F121" s="6" t="s">
        <v>388</v>
      </c>
      <c r="G121" s="6" t="s">
        <v>527</v>
      </c>
      <c r="H121">
        <f>MATCH(A121,[4]茵曼库存!$A:$A,0)</f>
        <v>122</v>
      </c>
    </row>
    <row r="122" ht="132" spans="1:8">
      <c r="A122" s="3">
        <v>28628695</v>
      </c>
      <c r="B122" s="3" t="s">
        <v>216</v>
      </c>
      <c r="C122" s="3">
        <v>79</v>
      </c>
      <c r="D122" s="8">
        <v>59</v>
      </c>
      <c r="E122" s="5">
        <v>0.15</v>
      </c>
      <c r="F122" s="3" t="s">
        <v>260</v>
      </c>
      <c r="G122" s="6" t="s">
        <v>528</v>
      </c>
      <c r="H122">
        <f>MATCH(A122,[4]茵曼库存!$A:$A,0)</f>
        <v>123</v>
      </c>
    </row>
    <row r="123" ht="270" spans="1:8">
      <c r="A123" s="10" t="s">
        <v>529</v>
      </c>
      <c r="B123" s="10" t="s">
        <v>216</v>
      </c>
      <c r="C123" s="10">
        <v>119</v>
      </c>
      <c r="D123" s="8">
        <v>89</v>
      </c>
      <c r="E123" s="5">
        <v>0.2</v>
      </c>
      <c r="F123" s="12" t="s">
        <v>530</v>
      </c>
      <c r="G123" s="35" t="s">
        <v>531</v>
      </c>
      <c r="H123">
        <f>MATCH(A123,[4]茵曼库存!$A:$A,0)</f>
        <v>124</v>
      </c>
    </row>
    <row r="124" ht="67.5" spans="1:8">
      <c r="A124" s="10" t="s">
        <v>532</v>
      </c>
      <c r="B124" s="10" t="s">
        <v>256</v>
      </c>
      <c r="C124" s="10">
        <v>199</v>
      </c>
      <c r="D124" s="4">
        <v>179</v>
      </c>
      <c r="E124" s="5">
        <v>0.2</v>
      </c>
      <c r="F124" s="10" t="s">
        <v>533</v>
      </c>
      <c r="G124" s="14" t="s">
        <v>534</v>
      </c>
      <c r="H124">
        <f>MATCH(A124,[4]茵曼库存!$A:$A,0)</f>
        <v>126</v>
      </c>
    </row>
    <row r="125" ht="66" spans="1:8">
      <c r="A125" s="10" t="s">
        <v>535</v>
      </c>
      <c r="B125" s="10" t="s">
        <v>256</v>
      </c>
      <c r="C125" s="10">
        <v>189</v>
      </c>
      <c r="D125" s="4">
        <v>169</v>
      </c>
      <c r="E125" s="5">
        <v>0.2</v>
      </c>
      <c r="F125" s="10" t="s">
        <v>536</v>
      </c>
      <c r="G125" s="10" t="s">
        <v>537</v>
      </c>
      <c r="H125">
        <f>MATCH(A125,[4]茵曼库存!$A:$A,0)</f>
        <v>127</v>
      </c>
    </row>
    <row r="126" ht="54" spans="1:8">
      <c r="A126" s="10" t="s">
        <v>538</v>
      </c>
      <c r="B126" s="10" t="s">
        <v>256</v>
      </c>
      <c r="C126" s="10">
        <v>189</v>
      </c>
      <c r="D126" s="4">
        <v>169</v>
      </c>
      <c r="E126" s="5">
        <v>0.2</v>
      </c>
      <c r="F126" s="10" t="s">
        <v>539</v>
      </c>
      <c r="G126" s="14" t="s">
        <v>540</v>
      </c>
      <c r="H126">
        <f>MATCH(A126,[4]茵曼库存!$A:$A,0)</f>
        <v>128</v>
      </c>
    </row>
    <row r="127" ht="148.5" spans="1:8">
      <c r="A127" s="10" t="s">
        <v>541</v>
      </c>
      <c r="B127" s="10" t="s">
        <v>256</v>
      </c>
      <c r="C127" s="10">
        <v>189</v>
      </c>
      <c r="D127" s="4">
        <v>159</v>
      </c>
      <c r="E127" s="5">
        <v>0.2</v>
      </c>
      <c r="F127" s="10" t="s">
        <v>260</v>
      </c>
      <c r="G127" s="10" t="s">
        <v>542</v>
      </c>
      <c r="H127">
        <f>MATCH(A127,[4]茵曼库存!$A:$A,0)</f>
        <v>129</v>
      </c>
    </row>
    <row r="128" ht="132" spans="1:8">
      <c r="A128" s="10" t="s">
        <v>543</v>
      </c>
      <c r="B128" s="10" t="s">
        <v>256</v>
      </c>
      <c r="C128" s="11">
        <v>647.5</v>
      </c>
      <c r="D128" s="8">
        <v>249</v>
      </c>
      <c r="E128" s="5">
        <v>0.2</v>
      </c>
      <c r="F128" s="12" t="s">
        <v>388</v>
      </c>
      <c r="G128" s="10" t="s">
        <v>544</v>
      </c>
      <c r="H128">
        <f>MATCH(A128,[4]茵曼库存!$A:$A,0)</f>
        <v>130</v>
      </c>
    </row>
    <row r="129" ht="22.5" spans="1:8">
      <c r="A129" s="33" t="s">
        <v>545</v>
      </c>
      <c r="B129" s="13" t="s">
        <v>256</v>
      </c>
      <c r="C129" s="38">
        <v>597.25</v>
      </c>
      <c r="D129" s="8">
        <v>189</v>
      </c>
      <c r="E129" s="5">
        <v>0.2</v>
      </c>
      <c r="F129" s="12" t="s">
        <v>260</v>
      </c>
      <c r="G129" s="10"/>
      <c r="H129">
        <f>MATCH(A129,[4]茵曼库存!$A:$A,0)</f>
        <v>131</v>
      </c>
    </row>
    <row r="130" ht="22.5" spans="1:8">
      <c r="A130" s="10">
        <v>18518172</v>
      </c>
      <c r="B130" s="10" t="s">
        <v>256</v>
      </c>
      <c r="C130" s="11">
        <v>199</v>
      </c>
      <c r="D130" s="8">
        <v>139</v>
      </c>
      <c r="E130" s="5">
        <v>0.2</v>
      </c>
      <c r="F130" s="12" t="s">
        <v>321</v>
      </c>
      <c r="G130" s="10" t="s">
        <v>49</v>
      </c>
      <c r="H130">
        <f>MATCH(A130,[4]茵曼库存!$A:$A,0)</f>
        <v>132</v>
      </c>
    </row>
    <row r="131" ht="49.5" spans="1:8">
      <c r="A131" s="15">
        <v>18637605</v>
      </c>
      <c r="B131" s="15" t="s">
        <v>256</v>
      </c>
      <c r="C131" s="15">
        <v>269</v>
      </c>
      <c r="D131" s="16">
        <v>179</v>
      </c>
      <c r="E131" s="17">
        <v>0.2</v>
      </c>
      <c r="F131" s="18" t="s">
        <v>546</v>
      </c>
      <c r="G131" s="19" t="s">
        <v>377</v>
      </c>
      <c r="H131">
        <f>MATCH(A131,[4]茵曼库存!$A:$A,0)</f>
        <v>133</v>
      </c>
    </row>
    <row r="132" ht="66" spans="1:8">
      <c r="A132" s="15">
        <v>18637208</v>
      </c>
      <c r="B132" s="15" t="s">
        <v>256</v>
      </c>
      <c r="C132" s="15">
        <v>299</v>
      </c>
      <c r="D132" s="16">
        <v>244.15</v>
      </c>
      <c r="E132" s="17">
        <v>0.2</v>
      </c>
      <c r="F132" s="18" t="s">
        <v>547</v>
      </c>
      <c r="G132" s="19" t="s">
        <v>490</v>
      </c>
      <c r="H132">
        <f>MATCH(A132,[4]茵曼库存!$A:$A,0)</f>
        <v>134</v>
      </c>
    </row>
    <row r="133" ht="82.5" spans="1:8">
      <c r="A133" s="15">
        <v>18637183</v>
      </c>
      <c r="B133" s="15" t="s">
        <v>256</v>
      </c>
      <c r="C133" s="15">
        <v>299</v>
      </c>
      <c r="D133" s="16">
        <v>199</v>
      </c>
      <c r="E133" s="17">
        <v>0.2</v>
      </c>
      <c r="F133" s="18" t="s">
        <v>548</v>
      </c>
      <c r="G133" s="19" t="s">
        <v>549</v>
      </c>
      <c r="H133">
        <f>MATCH(A133,[4]茵曼库存!$A:$A,0)</f>
        <v>135</v>
      </c>
    </row>
    <row r="134" ht="82.5" spans="1:8">
      <c r="A134" s="15">
        <v>18637091</v>
      </c>
      <c r="B134" s="15" t="s">
        <v>256</v>
      </c>
      <c r="C134" s="15">
        <v>279</v>
      </c>
      <c r="D134" s="16">
        <v>227.15</v>
      </c>
      <c r="E134" s="17">
        <v>0.2</v>
      </c>
      <c r="F134" s="18" t="s">
        <v>550</v>
      </c>
      <c r="G134" s="19" t="s">
        <v>457</v>
      </c>
      <c r="H134">
        <f>MATCH(A134,[4]茵曼库存!$A:$A,0)</f>
        <v>136</v>
      </c>
    </row>
    <row r="135" ht="148.5" spans="1:8">
      <c r="A135" s="15" t="s">
        <v>551</v>
      </c>
      <c r="B135" s="15" t="s">
        <v>256</v>
      </c>
      <c r="C135" s="15">
        <v>299</v>
      </c>
      <c r="D135" s="16">
        <v>244.15</v>
      </c>
      <c r="E135" s="17">
        <v>0.2</v>
      </c>
      <c r="F135" s="18" t="s">
        <v>552</v>
      </c>
      <c r="G135" s="19" t="s">
        <v>553</v>
      </c>
      <c r="H135">
        <f>MATCH(A135,[4]茵曼库存!$A:$A,0)</f>
        <v>137</v>
      </c>
    </row>
    <row r="136" ht="99" spans="1:8">
      <c r="A136" s="10" t="s">
        <v>554</v>
      </c>
      <c r="B136" s="10" t="s">
        <v>256</v>
      </c>
      <c r="C136" s="11">
        <v>672.5</v>
      </c>
      <c r="D136" s="8">
        <v>249</v>
      </c>
      <c r="E136" s="5">
        <v>0.2</v>
      </c>
      <c r="F136" s="12" t="s">
        <v>555</v>
      </c>
      <c r="G136" s="10" t="s">
        <v>556</v>
      </c>
      <c r="H136">
        <f>MATCH(A136,[4]茵曼库存!$A:$A,0)</f>
        <v>138</v>
      </c>
    </row>
    <row r="137" ht="82.5" spans="1:8">
      <c r="A137" s="10" t="s">
        <v>557</v>
      </c>
      <c r="B137" s="10" t="s">
        <v>256</v>
      </c>
      <c r="C137" s="11">
        <v>597.5</v>
      </c>
      <c r="D137" s="8">
        <v>249</v>
      </c>
      <c r="E137" s="5">
        <v>0.2</v>
      </c>
      <c r="F137" s="12" t="s">
        <v>352</v>
      </c>
      <c r="G137" s="10" t="s">
        <v>457</v>
      </c>
      <c r="H137">
        <f>MATCH(A137,[4]茵曼库存!$A:$A,0)</f>
        <v>139</v>
      </c>
    </row>
    <row r="138" ht="66" spans="1:8">
      <c r="A138" s="40">
        <v>18538624</v>
      </c>
      <c r="B138" s="10" t="s">
        <v>256</v>
      </c>
      <c r="C138" s="11">
        <v>259</v>
      </c>
      <c r="D138" s="8">
        <v>129</v>
      </c>
      <c r="E138" s="5">
        <v>0.2</v>
      </c>
      <c r="F138" s="12" t="s">
        <v>321</v>
      </c>
      <c r="G138" s="10" t="s">
        <v>558</v>
      </c>
      <c r="H138">
        <f>MATCH(A138,[4]茵曼库存!$A:$A,0)</f>
        <v>140</v>
      </c>
    </row>
    <row r="139" ht="115.5" spans="1:8">
      <c r="A139" s="20">
        <v>18637635</v>
      </c>
      <c r="B139" s="3" t="s">
        <v>256</v>
      </c>
      <c r="C139" s="3">
        <v>269</v>
      </c>
      <c r="D139" s="4">
        <v>169</v>
      </c>
      <c r="E139" s="5">
        <v>0.2</v>
      </c>
      <c r="F139" s="6" t="str">
        <f>VLOOKUP(A139,[2]Sheet1!$A:$G,7,FALSE)</f>
        <v>贵族灰</v>
      </c>
      <c r="G139" s="6" t="str">
        <f>VLOOKUP(A139,[2]Sheet1!$A:$L,12,FALSE)</f>
        <v>面料：82.0%聚酯纤维 18.0%粘纤 里料：100%聚酯纤维</v>
      </c>
      <c r="H139">
        <f>MATCH(A139,[4]茵曼库存!$A:$A,0)</f>
        <v>141</v>
      </c>
    </row>
    <row r="140" ht="33" spans="1:8">
      <c r="A140" s="10">
        <v>18438189</v>
      </c>
      <c r="B140" s="10" t="s">
        <v>256</v>
      </c>
      <c r="C140" s="11">
        <v>332</v>
      </c>
      <c r="D140" s="8">
        <v>179</v>
      </c>
      <c r="E140" s="5">
        <v>0.2</v>
      </c>
      <c r="F140" s="12" t="s">
        <v>441</v>
      </c>
      <c r="G140" s="10" t="s">
        <v>250</v>
      </c>
      <c r="H140">
        <f>MATCH(A140,[4]茵曼库存!$A:$A,0)</f>
        <v>142</v>
      </c>
    </row>
    <row r="141" ht="165" spans="1:8">
      <c r="A141" s="20">
        <v>18637577</v>
      </c>
      <c r="B141" s="3" t="s">
        <v>256</v>
      </c>
      <c r="C141" s="3">
        <v>339</v>
      </c>
      <c r="D141" s="4">
        <v>219</v>
      </c>
      <c r="E141" s="5">
        <v>0.2</v>
      </c>
      <c r="F141" s="6" t="str">
        <f>VLOOKUP(A141,[2]Sheet1!$A:$G,7,FALSE)</f>
        <v>宝蓝格</v>
      </c>
      <c r="G141" s="6" t="str">
        <f>VLOOKUP(A141,[2]Sheet1!$A:$L,12,FALSE)</f>
        <v>面料：68.6%聚酯纤维 14.1%粘纤 12.4%腈纶 4.9%绵羊毛 里料：100%聚酯纤维</v>
      </c>
      <c r="H141">
        <f>MATCH(A141,[4]茵曼库存!$A:$A,0)</f>
        <v>143</v>
      </c>
    </row>
    <row r="142" ht="99" spans="1:8">
      <c r="A142" s="20">
        <v>18637199</v>
      </c>
      <c r="B142" s="3" t="s">
        <v>256</v>
      </c>
      <c r="C142" s="3">
        <v>299</v>
      </c>
      <c r="D142" s="4">
        <v>219</v>
      </c>
      <c r="E142" s="5">
        <v>0.2</v>
      </c>
      <c r="F142" s="6" t="str">
        <f>VLOOKUP(A142,[2]Sheet1!$A:$G,7,FALSE)</f>
        <v>咖啡格</v>
      </c>
      <c r="G142" s="6" t="str">
        <f>VLOOKUP(A142,[2]Sheet1!$A:$L,12,FALSE)</f>
        <v>面料:77.4%聚酯纤维 16.9%粘纤 5.7%氨纶</v>
      </c>
      <c r="H142">
        <f>MATCH(A142,[4]茵曼库存!$A:$A,0)</f>
        <v>144</v>
      </c>
    </row>
    <row r="143" ht="148.5" spans="1:8">
      <c r="A143" s="20">
        <v>18637034</v>
      </c>
      <c r="B143" s="3" t="s">
        <v>256</v>
      </c>
      <c r="C143" s="3">
        <v>299</v>
      </c>
      <c r="D143" s="4">
        <v>209</v>
      </c>
      <c r="E143" s="5">
        <v>0.2</v>
      </c>
      <c r="F143" s="6" t="str">
        <f>VLOOKUP(A143,[2]Sheet1!$A:$G,7,FALSE)</f>
        <v>杏咖格</v>
      </c>
      <c r="G143" s="6" t="str">
        <f>VLOOKUP(A143,[2]Sheet1!$A:$L,12,FALSE)</f>
        <v>面料：84.0%聚酯纤维 13.9%粘纤 2.1%氨纶 里料：100%聚酯纤维</v>
      </c>
      <c r="H143">
        <f>MATCH(A143,[4]茵曼库存!$A:$A,0)</f>
        <v>145</v>
      </c>
    </row>
    <row r="144" ht="33" spans="1:8">
      <c r="A144" s="20">
        <v>18637080</v>
      </c>
      <c r="B144" s="3" t="s">
        <v>256</v>
      </c>
      <c r="C144" s="3">
        <v>299</v>
      </c>
      <c r="D144" s="4">
        <v>209</v>
      </c>
      <c r="E144" s="5">
        <v>0.2</v>
      </c>
      <c r="F144" s="6" t="str">
        <f>VLOOKUP(A144,[2]Sheet1!$A:$G,7,FALSE)</f>
        <v>牛仔蓝</v>
      </c>
      <c r="G144" s="6" t="str">
        <f>VLOOKUP(A144,[2]Sheet1!$A:$L,12,FALSE)</f>
        <v>面料：100%棉</v>
      </c>
      <c r="H144">
        <f>MATCH(A144,[4]茵曼库存!$A:$A,0)</f>
        <v>146</v>
      </c>
    </row>
    <row r="145" ht="132" spans="1:8">
      <c r="A145" s="7" t="s">
        <v>559</v>
      </c>
      <c r="B145" s="6" t="s">
        <v>256</v>
      </c>
      <c r="C145" s="6">
        <v>269</v>
      </c>
      <c r="D145" s="8">
        <v>159</v>
      </c>
      <c r="E145" s="5">
        <v>0.2</v>
      </c>
      <c r="F145" s="6" t="s">
        <v>560</v>
      </c>
      <c r="G145" s="6" t="s">
        <v>561</v>
      </c>
      <c r="H145">
        <f>MATCH(A145,[4]茵曼库存!$A:$A,0)</f>
        <v>147</v>
      </c>
    </row>
    <row r="146" ht="49.5" spans="1:8">
      <c r="A146" s="20">
        <v>18637272</v>
      </c>
      <c r="B146" s="3" t="s">
        <v>256</v>
      </c>
      <c r="C146" s="3">
        <v>299</v>
      </c>
      <c r="D146" s="4">
        <v>199</v>
      </c>
      <c r="E146" s="5">
        <v>0.2</v>
      </c>
      <c r="F146" s="6" t="str">
        <f>VLOOKUP(A146,[2]Sheet1!$A:$G,7,FALSE)</f>
        <v>牛仔蓝</v>
      </c>
      <c r="G146" s="6" t="str">
        <f>VLOOKUP(A146,[2]Sheet1!$A:$L,12,FALSE)</f>
        <v>面料:100%棉</v>
      </c>
      <c r="H146">
        <f>MATCH(A146,[4]茵曼库存!$A:$A,0)</f>
        <v>148</v>
      </c>
    </row>
    <row r="147" ht="409.5" spans="1:8">
      <c r="A147" s="10" t="s">
        <v>562</v>
      </c>
      <c r="B147" s="10" t="s">
        <v>270</v>
      </c>
      <c r="C147" s="11">
        <v>199.75</v>
      </c>
      <c r="D147" s="8">
        <v>79</v>
      </c>
      <c r="E147" s="5">
        <v>0.2</v>
      </c>
      <c r="F147" s="14" t="s">
        <v>563</v>
      </c>
      <c r="G147" s="35" t="s">
        <v>564</v>
      </c>
      <c r="H147">
        <f>MATCH(A147,[4]茵曼库存!$A:$A,0)</f>
        <v>149</v>
      </c>
    </row>
    <row r="148" ht="54" spans="1:8">
      <c r="A148" s="10" t="s">
        <v>565</v>
      </c>
      <c r="B148" s="10" t="s">
        <v>270</v>
      </c>
      <c r="C148" s="11">
        <v>247.5</v>
      </c>
      <c r="D148" s="8">
        <v>99</v>
      </c>
      <c r="E148" s="5">
        <v>0.2</v>
      </c>
      <c r="F148" s="12" t="s">
        <v>566</v>
      </c>
      <c r="G148" s="10" t="s">
        <v>250</v>
      </c>
      <c r="H148">
        <f>MATCH(A148,[4]茵曼库存!$A:$A,0)</f>
        <v>150</v>
      </c>
    </row>
    <row r="149" ht="22.5" spans="1:8">
      <c r="A149" s="3" t="s">
        <v>567</v>
      </c>
      <c r="B149" s="3" t="s">
        <v>270</v>
      </c>
      <c r="C149" s="3">
        <v>119</v>
      </c>
      <c r="D149" s="8">
        <v>69</v>
      </c>
      <c r="E149" s="5">
        <v>0.2</v>
      </c>
      <c r="F149" s="3" t="s">
        <v>385</v>
      </c>
      <c r="G149" s="6"/>
      <c r="H149">
        <f>MATCH(A149,[4]茵曼库存!$A:$A,0)</f>
        <v>151</v>
      </c>
    </row>
    <row r="150" ht="22.5" spans="1:8">
      <c r="A150" s="10">
        <v>18618251</v>
      </c>
      <c r="B150" s="10" t="s">
        <v>270</v>
      </c>
      <c r="C150" s="11">
        <v>169</v>
      </c>
      <c r="D150" s="8">
        <v>99</v>
      </c>
      <c r="E150" s="5">
        <v>0.2</v>
      </c>
      <c r="F150" s="12" t="s">
        <v>321</v>
      </c>
      <c r="G150" s="10" t="s">
        <v>568</v>
      </c>
      <c r="H150">
        <f>MATCH(A150,[4]茵曼库存!$A:$A,0)</f>
        <v>152</v>
      </c>
    </row>
    <row r="151" ht="27" spans="1:8">
      <c r="A151" s="10">
        <v>18625667</v>
      </c>
      <c r="B151" s="10" t="s">
        <v>270</v>
      </c>
      <c r="C151" s="11">
        <v>337.875</v>
      </c>
      <c r="D151" s="8">
        <v>109</v>
      </c>
      <c r="E151" s="5">
        <v>0.2</v>
      </c>
      <c r="F151" s="12" t="s">
        <v>569</v>
      </c>
      <c r="G151" s="10" t="s">
        <v>568</v>
      </c>
      <c r="H151">
        <f>MATCH(A151,[4]茵曼库存!$A:$A,0)</f>
        <v>153</v>
      </c>
    </row>
    <row r="152" ht="22.5" spans="1:8">
      <c r="A152" s="10">
        <v>18618276</v>
      </c>
      <c r="B152" s="10" t="s">
        <v>270</v>
      </c>
      <c r="C152" s="11">
        <v>192.15</v>
      </c>
      <c r="D152" s="8">
        <v>129</v>
      </c>
      <c r="E152" s="5">
        <v>0.2</v>
      </c>
      <c r="F152" s="12" t="s">
        <v>570</v>
      </c>
      <c r="G152" s="10"/>
      <c r="H152">
        <f>MATCH(A152,[4]茵曼库存!$A:$A,0)</f>
        <v>154</v>
      </c>
    </row>
    <row r="153" ht="66" spans="1:8">
      <c r="A153" s="10">
        <v>18625255</v>
      </c>
      <c r="B153" s="36" t="s">
        <v>270</v>
      </c>
      <c r="C153" s="10">
        <v>228</v>
      </c>
      <c r="D153" s="8">
        <v>89</v>
      </c>
      <c r="E153" s="5">
        <v>0.2</v>
      </c>
      <c r="F153" s="10" t="s">
        <v>571</v>
      </c>
      <c r="G153" s="10" t="s">
        <v>180</v>
      </c>
      <c r="H153">
        <f>MATCH(A153,[4]茵曼库存!$A:$A,0)</f>
        <v>155</v>
      </c>
    </row>
    <row r="154" ht="49.5" spans="1:8">
      <c r="A154" s="10">
        <v>18627220</v>
      </c>
      <c r="B154" s="10" t="s">
        <v>270</v>
      </c>
      <c r="C154" s="11">
        <v>272.5</v>
      </c>
      <c r="D154" s="8">
        <v>89</v>
      </c>
      <c r="E154" s="5">
        <v>0.2</v>
      </c>
      <c r="F154" s="10" t="s">
        <v>572</v>
      </c>
      <c r="G154" s="10" t="s">
        <v>250</v>
      </c>
      <c r="H154">
        <f>MATCH(A154,[4]茵曼库存!$A:$A,0)</f>
        <v>156</v>
      </c>
    </row>
    <row r="155" ht="33" spans="1:8">
      <c r="A155" s="10">
        <v>18625781</v>
      </c>
      <c r="B155" s="10" t="s">
        <v>270</v>
      </c>
      <c r="C155" s="11">
        <v>272.5</v>
      </c>
      <c r="D155" s="8">
        <v>109</v>
      </c>
      <c r="E155" s="5">
        <v>0.2</v>
      </c>
      <c r="F155" s="10" t="s">
        <v>573</v>
      </c>
      <c r="G155" s="10" t="s">
        <v>574</v>
      </c>
      <c r="H155">
        <f>MATCH(A155,[4]茵曼库存!$A:$A,0)</f>
        <v>157</v>
      </c>
    </row>
    <row r="156" ht="66" spans="1:8">
      <c r="A156" s="15" t="s">
        <v>575</v>
      </c>
      <c r="B156" s="15" t="s">
        <v>270</v>
      </c>
      <c r="C156" s="15">
        <v>159</v>
      </c>
      <c r="D156" s="16">
        <v>109</v>
      </c>
      <c r="E156" s="17">
        <v>0.2</v>
      </c>
      <c r="F156" s="18" t="s">
        <v>576</v>
      </c>
      <c r="G156" s="19" t="s">
        <v>577</v>
      </c>
      <c r="H156">
        <f>MATCH(A156,[4]茵曼库存!$A:$A,0)</f>
        <v>158</v>
      </c>
    </row>
    <row r="157" ht="66" spans="1:8">
      <c r="A157" s="15" t="s">
        <v>578</v>
      </c>
      <c r="B157" s="15" t="s">
        <v>270</v>
      </c>
      <c r="C157" s="15">
        <v>159</v>
      </c>
      <c r="D157" s="16">
        <v>109</v>
      </c>
      <c r="E157" s="17">
        <v>0.2</v>
      </c>
      <c r="F157" s="18" t="s">
        <v>579</v>
      </c>
      <c r="G157" s="19" t="s">
        <v>580</v>
      </c>
      <c r="H157">
        <f>MATCH(A157,[4]茵曼库存!$A:$A,0)</f>
        <v>159</v>
      </c>
    </row>
    <row r="158" ht="22.5" spans="1:8">
      <c r="A158" s="41">
        <v>18637019</v>
      </c>
      <c r="B158" s="3" t="s">
        <v>581</v>
      </c>
      <c r="C158" s="11">
        <v>599</v>
      </c>
      <c r="D158" s="4">
        <v>259</v>
      </c>
      <c r="E158" s="5">
        <v>0.2</v>
      </c>
      <c r="F158" s="42" t="s">
        <v>582</v>
      </c>
      <c r="G158" s="21" t="s">
        <v>583</v>
      </c>
      <c r="H158">
        <f>MATCH(A158,[4]茵曼库存!$A:$A,0)</f>
        <v>160</v>
      </c>
    </row>
    <row r="159" ht="54" spans="1:8">
      <c r="A159" s="41" t="s">
        <v>584</v>
      </c>
      <c r="B159" s="3" t="s">
        <v>581</v>
      </c>
      <c r="C159" s="3">
        <v>229</v>
      </c>
      <c r="D159" s="4">
        <v>169</v>
      </c>
      <c r="E159" s="5">
        <v>0.2</v>
      </c>
      <c r="F159" s="42" t="s">
        <v>585</v>
      </c>
      <c r="G159" s="21"/>
      <c r="H159">
        <f>MATCH(A159,[4]茵曼库存!$A:$A,0)</f>
        <v>161</v>
      </c>
    </row>
    <row r="160" ht="99" spans="1:8">
      <c r="A160" s="15">
        <v>18637537</v>
      </c>
      <c r="B160" s="15" t="s">
        <v>581</v>
      </c>
      <c r="C160" s="15">
        <v>199</v>
      </c>
      <c r="D160" s="16">
        <v>149</v>
      </c>
      <c r="E160" s="17">
        <v>0.2</v>
      </c>
      <c r="F160" s="18" t="s">
        <v>477</v>
      </c>
      <c r="G160" s="19" t="s">
        <v>586</v>
      </c>
      <c r="H160">
        <f>MATCH(A160,[4]茵曼库存!$A:$A,0)</f>
        <v>162</v>
      </c>
    </row>
    <row r="161" ht="409.5" spans="1:8">
      <c r="A161" s="20">
        <v>18538248</v>
      </c>
      <c r="B161" s="3" t="s">
        <v>581</v>
      </c>
      <c r="C161" s="3">
        <v>299</v>
      </c>
      <c r="D161" s="4">
        <v>219</v>
      </c>
      <c r="E161" s="5">
        <v>0.2</v>
      </c>
      <c r="F161" s="6" t="str">
        <f>VLOOKUP(A161,[2]Sheet1!$A:$G,7,FALSE)</f>
        <v>藏青、花咖、浅咖色、花灰色、白色、灰色、红色</v>
      </c>
      <c r="G161" s="6" t="str">
        <f>VLOOKUP(A161,[2]Sheet1!$A:$L,12,FALSE)</f>
        <v>灰色/藏青/花灰色面料：49.6%腈纶 30.7%聚酯纤维 19.7%锦纶 领子：100%棉 
红色/花咖面料：47.3%腈纶 29.2%聚酯纤维 23.5%锦纶 领子： 74.6%棉22.3%锦纶 3.1%氨纶
浅咖色 面料：55.8%腈纶 30.2%聚酯纤维 14.0%锦纶  领子： 75.0%棉 21.9%锦纶 3.1%氨纶
白色 面料：41.5%锦纶 34.7% 腈纶 23.8%聚酯纤维 领子：100%棉</v>
      </c>
      <c r="H161">
        <f>MATCH(A161,[4]茵曼库存!$A:$A,0)</f>
        <v>163</v>
      </c>
    </row>
    <row r="162" ht="99" spans="1:8">
      <c r="A162" s="20" t="s">
        <v>587</v>
      </c>
      <c r="B162" s="3" t="s">
        <v>581</v>
      </c>
      <c r="C162" s="3">
        <v>299</v>
      </c>
      <c r="D162" s="4">
        <v>219</v>
      </c>
      <c r="E162" s="5">
        <v>0.2</v>
      </c>
      <c r="F162" s="6" t="str">
        <f>VLOOKUP(A162,[2]Sheet1!$A:$G,7,FALSE)</f>
        <v>浅蓝色、皮粉色、浅灰色</v>
      </c>
      <c r="G162" s="6" t="str">
        <f>VLOOKUP(A162,[2]Sheet1!$A:$L,12,FALSE)</f>
        <v>面料：44.6%锦纶 33.7%腈纶 21.7%聚酯纤维</v>
      </c>
      <c r="H162">
        <f>MATCH(A162,[4]茵曼库存!$A:$A,0)</f>
        <v>164</v>
      </c>
    </row>
    <row r="163" ht="115.5" spans="1:8">
      <c r="A163" s="15">
        <v>18637637</v>
      </c>
      <c r="B163" s="15" t="s">
        <v>581</v>
      </c>
      <c r="C163" s="15">
        <v>269</v>
      </c>
      <c r="D163" s="16">
        <v>169</v>
      </c>
      <c r="E163" s="17">
        <v>0.2</v>
      </c>
      <c r="F163" s="18" t="s">
        <v>588</v>
      </c>
      <c r="G163" s="19" t="s">
        <v>589</v>
      </c>
      <c r="H163">
        <f>MATCH(A163,[4]茵曼库存!$A:$A,0)</f>
        <v>165</v>
      </c>
    </row>
    <row r="164" ht="165" spans="1:8">
      <c r="A164" s="15">
        <v>18637021</v>
      </c>
      <c r="B164" s="15" t="s">
        <v>581</v>
      </c>
      <c r="C164" s="15">
        <v>329</v>
      </c>
      <c r="D164" s="16">
        <v>239</v>
      </c>
      <c r="E164" s="17">
        <v>0.2</v>
      </c>
      <c r="F164" s="18" t="s">
        <v>590</v>
      </c>
      <c r="G164" s="19" t="s">
        <v>591</v>
      </c>
      <c r="H164">
        <f>MATCH(A164,[4]茵曼库存!$A:$A,0)</f>
        <v>166</v>
      </c>
    </row>
    <row r="165" ht="148.5" spans="1:8">
      <c r="A165" s="15">
        <v>18637539</v>
      </c>
      <c r="B165" s="15" t="s">
        <v>581</v>
      </c>
      <c r="C165" s="15">
        <v>239</v>
      </c>
      <c r="D165" s="16">
        <v>159</v>
      </c>
      <c r="E165" s="17">
        <v>0.2</v>
      </c>
      <c r="F165" s="18" t="s">
        <v>477</v>
      </c>
      <c r="G165" s="19" t="s">
        <v>592</v>
      </c>
      <c r="H165">
        <f>MATCH(A165,[4]茵曼库存!$A:$A,0)</f>
        <v>167</v>
      </c>
    </row>
    <row r="166" ht="409.5" spans="1:8">
      <c r="A166" s="15">
        <v>18637344</v>
      </c>
      <c r="B166" s="15" t="s">
        <v>581</v>
      </c>
      <c r="C166" s="15">
        <v>299</v>
      </c>
      <c r="D166" s="16">
        <v>244.15</v>
      </c>
      <c r="E166" s="17">
        <v>0.2</v>
      </c>
      <c r="F166" s="18" t="s">
        <v>593</v>
      </c>
      <c r="G166" s="19" t="s">
        <v>594</v>
      </c>
      <c r="H166">
        <f>MATCH(A166,[4]茵曼库存!$A:$A,0)</f>
        <v>168</v>
      </c>
    </row>
    <row r="167" ht="330" spans="1:8">
      <c r="A167" s="20">
        <v>18538047</v>
      </c>
      <c r="B167" s="3" t="s">
        <v>581</v>
      </c>
      <c r="C167" s="3">
        <v>349</v>
      </c>
      <c r="D167" s="4">
        <v>199</v>
      </c>
      <c r="E167" s="5">
        <v>0.2</v>
      </c>
      <c r="F167" s="6" t="str">
        <f>VLOOKUP(A167,[2]Sheet1!$A:$G,7,FALSE)</f>
        <v>天蓝色、姜黄、彩蓝色、黄色、姜黄色</v>
      </c>
      <c r="G167" s="6" t="str">
        <f>VLOOKUP(A167,[2]Sheet1!$A:$L,12,FALSE)</f>
        <v>黄色/姜黄色/彩蓝色面料：70.0%聚酯纤维 13.9%锦纶 8.7%腈纶 6.1%绵羊毛 1.3%氨纶
天蓝色面料：73.1%聚酯纤维 14.4%锦纶  6.1%绵羊毛4.1%腈纶 2.3%氨纶</v>
      </c>
      <c r="H167">
        <f>MATCH(A167,[4]茵曼库存!$A:$A,0)</f>
        <v>169</v>
      </c>
    </row>
    <row r="168" ht="231" spans="1:8">
      <c r="A168" s="20">
        <v>18637075</v>
      </c>
      <c r="B168" s="3" t="s">
        <v>581</v>
      </c>
      <c r="C168" s="3">
        <v>229</v>
      </c>
      <c r="D168" s="4">
        <v>169</v>
      </c>
      <c r="E168" s="5">
        <v>0.2</v>
      </c>
      <c r="F168" s="6" t="str">
        <f>VLOOKUP(A168,[2]Sheet1!$A:$G,7,FALSE)</f>
        <v>浅粉色、浅米杏</v>
      </c>
      <c r="G168" s="6" t="str">
        <f>VLOOKUP(A168,[2]Sheet1!$A:$L,12,FALSE)</f>
        <v>浅米杏 面料：55.1%腈纶 29.0%聚酯纤维 15.9%锦纶
浅粉色 面料：47.1%腈纶 30.0%聚酯纤维 22.9%锦纶</v>
      </c>
      <c r="H168">
        <f>MATCH(A168,[4]茵曼库存!$A:$A,0)</f>
        <v>170</v>
      </c>
    </row>
    <row r="169" ht="99" spans="1:8">
      <c r="A169" s="20">
        <v>18637426</v>
      </c>
      <c r="B169" s="3" t="s">
        <v>581</v>
      </c>
      <c r="C169" s="3">
        <v>239</v>
      </c>
      <c r="D169" s="4">
        <v>149</v>
      </c>
      <c r="E169" s="5">
        <v>0.2</v>
      </c>
      <c r="F169" s="6" t="str">
        <f>VLOOKUP(A169,[2]Sheet1!$A:$G,7,FALSE)</f>
        <v>藏青色、咖色、深灰色</v>
      </c>
      <c r="G169" s="6" t="str">
        <f>VLOOKUP(A169,[2]Sheet1!$A:$L,12,FALSE)</f>
        <v>面料：44.4%腈纶 30.5%聚酯纤维 25.1%锦纶</v>
      </c>
      <c r="H169">
        <f>MATCH(A169,[4]茵曼库存!$A:$A,0)</f>
        <v>171</v>
      </c>
    </row>
    <row r="170" ht="148.5" spans="1:8">
      <c r="A170" s="20">
        <v>18637058</v>
      </c>
      <c r="B170" s="3" t="s">
        <v>581</v>
      </c>
      <c r="C170" s="3">
        <v>299</v>
      </c>
      <c r="D170" s="4">
        <v>219</v>
      </c>
      <c r="E170" s="5">
        <v>0.2</v>
      </c>
      <c r="F170" s="6" t="str">
        <f>VLOOKUP(A170,[2]Sheet1!$A:$G,7,FALSE)</f>
        <v>咖色</v>
      </c>
      <c r="G170" s="6" t="str">
        <f>VLOOKUP(A170,[2]Sheet1!$A:$L,12,FALSE)</f>
        <v>身面料：47.3%腈纶41.1%棉11.6%锦纶 前幅内层：51.4%腈纶48.6%棉</v>
      </c>
      <c r="H170">
        <f>MATCH(A170,[4]茵曼库存!$A:$A,0)</f>
        <v>172</v>
      </c>
    </row>
  </sheetData>
  <conditionalFormatting sqref="A1">
    <cfRule type="duplicateValues" dxfId="0" priority="9"/>
    <cfRule type="duplicateValues" dxfId="0" priority="7"/>
  </conditionalFormatting>
  <conditionalFormatting sqref="A22">
    <cfRule type="duplicateValues" dxfId="0" priority="5"/>
  </conditionalFormatting>
  <conditionalFormatting sqref="A73">
    <cfRule type="duplicateValues" dxfId="0" priority="3"/>
  </conditionalFormatting>
  <conditionalFormatting sqref="A2:A170">
    <cfRule type="duplicateValues" dxfId="0" priority="1"/>
  </conditionalFormatting>
  <conditionalFormatting sqref="A2:A9 A22:A23 A38:A39 A49:A72 A74:A80 A84 A88:A90 A95:A96 A106 A111:A120 A123 A130:A144 A146:A152">
    <cfRule type="duplicateValues" dxfId="0" priority="4"/>
  </conditionalFormatting>
  <conditionalFormatting sqref="A2:A9 A22:A23 A38:A39 A49:A80 A82:A84 A88:A90 A95:A96 A106 A111:A120 A123 A128:A152 A158:A170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初语货表</vt:lpstr>
      <vt:lpstr>茵曼货表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简单还有趣</cp:lastModifiedBy>
  <dcterms:created xsi:type="dcterms:W3CDTF">2026-06-19T06:11:00Z</dcterms:created>
  <dcterms:modified xsi:type="dcterms:W3CDTF">2026-08-14T06:38:53Z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2FAE6CFD6DCD4F2CAA1AE973026DE76B_13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